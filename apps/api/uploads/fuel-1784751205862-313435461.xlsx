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sigacgts_sena_edu_co/Documents/Sistema de Gestión Ambiental y Energético/SENA 2026/Repositorio Ambiental Valle 2026/Mediciones Ambientales Salomia 2026/Consumos/"/>
    </mc:Choice>
  </mc:AlternateContent>
  <xr:revisionPtr revIDLastSave="337" documentId="13_ncr:1_{65A958CF-2A34-41EE-86E2-5FFC94301B56}" xr6:coauthVersionLast="47" xr6:coauthVersionMax="47" xr10:uidLastSave="{9346A76D-D7AD-4D3A-AB7D-92FCCBE9F11F}"/>
  <bookViews>
    <workbookView xWindow="-120" yWindow="-120" windowWidth="20730" windowHeight="11040" firstSheet="3" activeTab="4" xr2:uid="{00000000-000D-0000-FFFF-FFFF00000000}"/>
  </bookViews>
  <sheets>
    <sheet name="Enero" sheetId="1" r:id="rId1"/>
    <sheet name="Febrero" sheetId="5" r:id="rId2"/>
    <sheet name="Marzo" sheetId="6" r:id="rId3"/>
    <sheet name="DIESEL" sheetId="3" r:id="rId4"/>
    <sheet name="Combustible" sheetId="4" r:id="rId5"/>
  </sheets>
  <definedNames>
    <definedName name="_xlnm._FilterDatabase" localSheetId="0" hidden="1">Enero!$A$2:$AC$48</definedName>
    <definedName name="_xlnm._FilterDatabase" localSheetId="1" hidden="1">Febrero!$A$1:$W$19</definedName>
    <definedName name="_xlnm._FilterDatabase" localSheetId="2" hidden="1">Marzo!$A$1:$AC$19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Z16" i="6"/>
  <c r="Z15" i="6"/>
  <c r="Z14" i="6"/>
  <c r="Z13" i="6"/>
  <c r="Z12" i="6"/>
  <c r="Z11" i="6"/>
  <c r="Z10" i="6"/>
  <c r="Z9" i="6"/>
  <c r="Z8" i="6"/>
  <c r="Z7" i="6"/>
  <c r="Z6" i="6"/>
  <c r="Z5" i="6"/>
  <c r="Z4" i="6"/>
  <c r="Z3" i="6"/>
  <c r="Z2" i="6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G15" i="4"/>
  <c r="G30" i="3"/>
  <c r="F30" i="3"/>
  <c r="G33" i="3"/>
  <c r="F33" i="3"/>
  <c r="F27" i="3"/>
  <c r="G27" i="3"/>
  <c r="G24" i="3"/>
  <c r="F24" i="3"/>
  <c r="G21" i="3"/>
  <c r="F21" i="3"/>
  <c r="G18" i="3"/>
  <c r="F18" i="3"/>
  <c r="F11" i="4"/>
  <c r="G8" i="4"/>
  <c r="F8" i="4"/>
  <c r="G15" i="3"/>
  <c r="F15" i="3"/>
  <c r="F11" i="3"/>
  <c r="G11" i="3"/>
  <c r="F8" i="3"/>
  <c r="F5" i="3"/>
  <c r="F15" i="4"/>
  <c r="G14" i="4"/>
  <c r="F14" i="4"/>
  <c r="G13" i="4"/>
  <c r="F13" i="4"/>
  <c r="G12" i="4"/>
  <c r="F12" i="4"/>
  <c r="G11" i="4"/>
  <c r="G10" i="4"/>
  <c r="G7" i="4"/>
  <c r="F7" i="4"/>
  <c r="G8" i="3"/>
  <c r="G5" i="3"/>
  <c r="F17" i="4" l="1"/>
  <c r="G17" i="4"/>
  <c r="G39" i="3"/>
  <c r="F39" i="3"/>
  <c r="Y45" i="1" l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</calcChain>
</file>

<file path=xl/sharedStrings.xml><?xml version="1.0" encoding="utf-8"?>
<sst xmlns="http://schemas.openxmlformats.org/spreadsheetml/2006/main" count="1801" uniqueCount="235">
  <si>
    <t>Fecha Hasta: 05/05/2025 23:59:59.999</t>
  </si>
  <si>
    <t>Cliente</t>
  </si>
  <si>
    <t>Placa</t>
  </si>
  <si>
    <t>Chips</t>
  </si>
  <si>
    <t>Tipo Vehículo</t>
  </si>
  <si>
    <t>Manifiesto / Restriccion de Consumo</t>
  </si>
  <si>
    <t>Centro Costo</t>
  </si>
  <si>
    <t>Estación</t>
  </si>
  <si>
    <t>Direccion</t>
  </si>
  <si>
    <t>Ciudad</t>
  </si>
  <si>
    <t>Fecha</t>
  </si>
  <si>
    <t>Volumen</t>
  </si>
  <si>
    <t>KM</t>
  </si>
  <si>
    <t>KM GPSVO</t>
  </si>
  <si>
    <t>KM GPSECU</t>
  </si>
  <si>
    <t>Precio Tablero</t>
  </si>
  <si>
    <t>Valor Unitario</t>
  </si>
  <si>
    <t>Valor Total</t>
  </si>
  <si>
    <t>Producto</t>
  </si>
  <si>
    <t>Unidad</t>
  </si>
  <si>
    <t>Cedula Conductor</t>
  </si>
  <si>
    <t>Entregado A</t>
  </si>
  <si>
    <t>Tarjeta</t>
  </si>
  <si>
    <t>Empleado</t>
  </si>
  <si>
    <t>Vale</t>
  </si>
  <si>
    <t>Enlace</t>
  </si>
  <si>
    <t>Tipo Documento</t>
  </si>
  <si>
    <t>Tipo Validacion</t>
  </si>
  <si>
    <t>Sustitucion</t>
  </si>
  <si>
    <t>Observaciones</t>
  </si>
  <si>
    <t>SENA - CENTRO DE GESTION TECNOLOGICA DE SERVICIOS</t>
  </si>
  <si>
    <t>ONK385</t>
  </si>
  <si>
    <t>B900000169B6BB01</t>
  </si>
  <si>
    <t/>
  </si>
  <si>
    <t>RC: 1199642</t>
  </si>
  <si>
    <t xml:space="preserve"> SALOMIA</t>
  </si>
  <si>
    <t xml:space="preserve">Cra. 1 No. 46A - 80 </t>
  </si>
  <si>
    <t>Cali</t>
  </si>
  <si>
    <t xml:space="preserve"> 176830</t>
  </si>
  <si>
    <t xml:space="preserve"> 0</t>
  </si>
  <si>
    <t>DIESEL</t>
  </si>
  <si>
    <t>GALON</t>
  </si>
  <si>
    <t>DANIELA MERA GONZALEZ</t>
  </si>
  <si>
    <t>REDW122389</t>
  </si>
  <si>
    <t>R</t>
  </si>
  <si>
    <t>I</t>
  </si>
  <si>
    <t>No</t>
  </si>
  <si>
    <t>REDW</t>
  </si>
  <si>
    <t xml:space="preserve"> 177266</t>
  </si>
  <si>
    <t>STEFANY VARELA CARDONA</t>
  </si>
  <si>
    <t>REDW122616</t>
  </si>
  <si>
    <t xml:space="preserve"> 177626</t>
  </si>
  <si>
    <t>EDICSON ALEJANDRO CASTRO BOGADO</t>
  </si>
  <si>
    <t>REDW122844</t>
  </si>
  <si>
    <t>OJY156</t>
  </si>
  <si>
    <t>CB0000015DD9B601</t>
  </si>
  <si>
    <t xml:space="preserve">JUAN CARLOS MENESES MANQUILLO </t>
  </si>
  <si>
    <t>REDW122929</t>
  </si>
  <si>
    <t>UPR137</t>
  </si>
  <si>
    <t>2F000001A1361401</t>
  </si>
  <si>
    <t>RC: 1199645</t>
  </si>
  <si>
    <t xml:space="preserve"> 12791</t>
  </si>
  <si>
    <t>REDW122981</t>
  </si>
  <si>
    <t>OJX776</t>
  </si>
  <si>
    <t>03000001A0C0E101</t>
  </si>
  <si>
    <t>RC: 1199641</t>
  </si>
  <si>
    <t xml:space="preserve"> 53723</t>
  </si>
  <si>
    <t>REDW123019</t>
  </si>
  <si>
    <t>RC: 1226195</t>
  </si>
  <si>
    <t xml:space="preserve"> 178008</t>
  </si>
  <si>
    <t>ERICK MANUEL PUGLIESE PACHECO</t>
  </si>
  <si>
    <t>REDW123020</t>
  </si>
  <si>
    <t xml:space="preserve"> 178473</t>
  </si>
  <si>
    <t>REDW123229</t>
  </si>
  <si>
    <t xml:space="preserve"> 53868</t>
  </si>
  <si>
    <t>REDW123351</t>
  </si>
  <si>
    <t xml:space="preserve"> 178911</t>
  </si>
  <si>
    <t>REDW123500</t>
  </si>
  <si>
    <t xml:space="preserve"> 53906</t>
  </si>
  <si>
    <t>16223511</t>
  </si>
  <si>
    <t>REDW123550</t>
  </si>
  <si>
    <t xml:space="preserve"> 179335</t>
  </si>
  <si>
    <t>REDW123659</t>
  </si>
  <si>
    <t xml:space="preserve"> 54229</t>
  </si>
  <si>
    <t>REDW123673</t>
  </si>
  <si>
    <t xml:space="preserve"> 54248</t>
  </si>
  <si>
    <t>16654208</t>
  </si>
  <si>
    <t>MANUEL JULIAN RADA MORENO</t>
  </si>
  <si>
    <t>REDW123920</t>
  </si>
  <si>
    <t xml:space="preserve"> 12818</t>
  </si>
  <si>
    <t>REDW123931</t>
  </si>
  <si>
    <t xml:space="preserve"> 179821</t>
  </si>
  <si>
    <t>REDW123972</t>
  </si>
  <si>
    <t xml:space="preserve"> 180224</t>
  </si>
  <si>
    <t>REDW124116</t>
  </si>
  <si>
    <t xml:space="preserve"> 180604</t>
  </si>
  <si>
    <t>REDW124326</t>
  </si>
  <si>
    <t xml:space="preserve"> 54322</t>
  </si>
  <si>
    <t>REDW124386</t>
  </si>
  <si>
    <t xml:space="preserve"> 54623</t>
  </si>
  <si>
    <t>REDW124531</t>
  </si>
  <si>
    <t xml:space="preserve"> 180993</t>
  </si>
  <si>
    <t>REDW124568</t>
  </si>
  <si>
    <t>RC: 1286127</t>
  </si>
  <si>
    <t xml:space="preserve"> 55023</t>
  </si>
  <si>
    <t>REDW124681</t>
  </si>
  <si>
    <t xml:space="preserve"> 181489</t>
  </si>
  <si>
    <t>REDW124782</t>
  </si>
  <si>
    <t>ONI216</t>
  </si>
  <si>
    <t>6A000001A0E05801</t>
  </si>
  <si>
    <t>RC: 1199644</t>
  </si>
  <si>
    <t xml:space="preserve"> 573130</t>
  </si>
  <si>
    <t>CORRIENTE</t>
  </si>
  <si>
    <t>REDW124791</t>
  </si>
  <si>
    <t xml:space="preserve"> 181861</t>
  </si>
  <si>
    <t>GABRIEL ALEXANDER AYALA PIAUN</t>
  </si>
  <si>
    <t>REDW124962</t>
  </si>
  <si>
    <t>OJY080</t>
  </si>
  <si>
    <t>2000000181727901</t>
  </si>
  <si>
    <t>RC: 1199643</t>
  </si>
  <si>
    <t xml:space="preserve"> 157511</t>
  </si>
  <si>
    <t>REDW125007</t>
  </si>
  <si>
    <t>RC: 1303059</t>
  </si>
  <si>
    <t xml:space="preserve"> 55178</t>
  </si>
  <si>
    <t>16223512</t>
  </si>
  <si>
    <t>REDW125015</t>
  </si>
  <si>
    <t xml:space="preserve"> 573174</t>
  </si>
  <si>
    <t>REDW125224</t>
  </si>
  <si>
    <t xml:space="preserve"> 157780</t>
  </si>
  <si>
    <t>REDW125237</t>
  </si>
  <si>
    <t xml:space="preserve"> 158011</t>
  </si>
  <si>
    <t>REDW125350</t>
  </si>
  <si>
    <t xml:space="preserve"> 158246</t>
  </si>
  <si>
    <t>REDW125729</t>
  </si>
  <si>
    <t xml:space="preserve"> 182109</t>
  </si>
  <si>
    <t>REDW125846</t>
  </si>
  <si>
    <t xml:space="preserve"> 55344</t>
  </si>
  <si>
    <t>REDW125866</t>
  </si>
  <si>
    <t xml:space="preserve"> 158588</t>
  </si>
  <si>
    <t>REDW125895</t>
  </si>
  <si>
    <t>RC: 1326843</t>
  </si>
  <si>
    <t xml:space="preserve"> 158701</t>
  </si>
  <si>
    <t>REDW125971</t>
  </si>
  <si>
    <t>ODT046</t>
  </si>
  <si>
    <t xml:space="preserve"> 247955</t>
  </si>
  <si>
    <t>REDW126007</t>
  </si>
  <si>
    <t xml:space="preserve"> 55875</t>
  </si>
  <si>
    <t>REDW126057</t>
  </si>
  <si>
    <t xml:space="preserve"> 182324</t>
  </si>
  <si>
    <t>REDW126155</t>
  </si>
  <si>
    <t xml:space="preserve"> 158945</t>
  </si>
  <si>
    <t>REDW126192</t>
  </si>
  <si>
    <t xml:space="preserve"> 573225</t>
  </si>
  <si>
    <t>REDW126246</t>
  </si>
  <si>
    <t xml:space="preserve"> 55958</t>
  </si>
  <si>
    <t>1623654</t>
  </si>
  <si>
    <t>REDW126316</t>
  </si>
  <si>
    <t xml:space="preserve"> 248615</t>
  </si>
  <si>
    <t>76293104</t>
  </si>
  <si>
    <t>REDW126331</t>
  </si>
  <si>
    <t xml:space="preserve"> 159253</t>
  </si>
  <si>
    <t>REDW126428</t>
  </si>
  <si>
    <t>Total Galones</t>
  </si>
  <si>
    <t>Suma</t>
  </si>
  <si>
    <t>Total Combustible 
 Total Notas Debito 
 Grand Total</t>
  </si>
  <si>
    <t>4262432
0
4262432</t>
  </si>
  <si>
    <t>Control</t>
  </si>
  <si>
    <t>OJZ807</t>
  </si>
  <si>
    <t>3A000001EDAE1601</t>
  </si>
  <si>
    <t>RC: 1672273</t>
  </si>
  <si>
    <t xml:space="preserve"> 6034</t>
  </si>
  <si>
    <t>REDW139025</t>
  </si>
  <si>
    <t>RC: 1671305</t>
  </si>
  <si>
    <t xml:space="preserve"> 174964</t>
  </si>
  <si>
    <t>REDW139056</t>
  </si>
  <si>
    <t>RC: 1671303</t>
  </si>
  <si>
    <t xml:space="preserve"> 64029</t>
  </si>
  <si>
    <t>YEILY DANIELA ROJAS VERA</t>
  </si>
  <si>
    <t>REDW139058</t>
  </si>
  <si>
    <t>RC: 1671304</t>
  </si>
  <si>
    <t xml:space="preserve"> 187391</t>
  </si>
  <si>
    <t>REDW139130</t>
  </si>
  <si>
    <t xml:space="preserve"> 6420</t>
  </si>
  <si>
    <t>REDW139305</t>
  </si>
  <si>
    <t xml:space="preserve"> 6773</t>
  </si>
  <si>
    <t>CARLOS ANDREY PERAFAN MENESES </t>
  </si>
  <si>
    <t>REDW139461</t>
  </si>
  <si>
    <t xml:space="preserve"> 7198</t>
  </si>
  <si>
    <t>REDW139618</t>
  </si>
  <si>
    <t xml:space="preserve"> 64271</t>
  </si>
  <si>
    <t>REDW139662</t>
  </si>
  <si>
    <t>OJZ755</t>
  </si>
  <si>
    <t>55000001FF3C4B01</t>
  </si>
  <si>
    <t>RC: 1672274</t>
  </si>
  <si>
    <t xml:space="preserve"> 1764</t>
  </si>
  <si>
    <t>REDW139666</t>
  </si>
  <si>
    <t xml:space="preserve"> 175294</t>
  </si>
  <si>
    <t>REDW139675</t>
  </si>
  <si>
    <t xml:space="preserve"> 7705</t>
  </si>
  <si>
    <t>JUAN MANUEL SALGADO PEREZ </t>
  </si>
  <si>
    <t>REDW139814</t>
  </si>
  <si>
    <t xml:space="preserve"> 8008</t>
  </si>
  <si>
    <t>REDW139910</t>
  </si>
  <si>
    <t xml:space="preserve"> 64629</t>
  </si>
  <si>
    <t>REDW139942</t>
  </si>
  <si>
    <t xml:space="preserve"> 8430</t>
  </si>
  <si>
    <t>REDW140134</t>
  </si>
  <si>
    <t xml:space="preserve"> 3225</t>
  </si>
  <si>
    <t>HECTOR FABIO PAREDES PEREZ </t>
  </si>
  <si>
    <t>REDW140180</t>
  </si>
  <si>
    <t>2223734
0
2223734</t>
  </si>
  <si>
    <t>GALONES ACPM CONSUMIDOS POR MES CGTS COMPLEJO SALOMIA 2026</t>
  </si>
  <si>
    <t>MES</t>
  </si>
  <si>
    <t>PLACA VEHICULO</t>
  </si>
  <si>
    <t>Gln tanqueados</t>
  </si>
  <si>
    <t>Valor pagado Facturas</t>
  </si>
  <si>
    <t>CONSUMO TOTAL GAL</t>
  </si>
  <si>
    <t>VALOR TOTAL PAGADO</t>
  </si>
  <si>
    <t>Enero</t>
  </si>
  <si>
    <t>Febrero</t>
  </si>
  <si>
    <t>marzo</t>
  </si>
  <si>
    <t>OJX080</t>
  </si>
  <si>
    <t>abril</t>
  </si>
  <si>
    <t>mayo</t>
  </si>
  <si>
    <t>junio</t>
  </si>
  <si>
    <t>julio</t>
  </si>
  <si>
    <t>agosto</t>
  </si>
  <si>
    <t>OJX775</t>
  </si>
  <si>
    <t>septiembre</t>
  </si>
  <si>
    <t>octubre</t>
  </si>
  <si>
    <t>noviembre</t>
  </si>
  <si>
    <t>diciembre</t>
  </si>
  <si>
    <t>TOTAL</t>
  </si>
  <si>
    <t>GALONES COMBUSTIBLE CONSUMIDOS POR MES CGTS COMPLEJO SALOMIA 2026</t>
  </si>
  <si>
    <t>No se presento generación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</si>
</sst>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&quot;$&quot;\ * #,##0.00_-;\-&quot;$&quot;\ * #,##0.00_-;_-&quot;$&quot;\ * &quot;-&quot;??_-;_-@_-"/>
    <numFmt numFmtId="165" formatCode="dd/mm/yyyy\ hh:mm:ss"/>
    <numFmt numFmtId="166" formatCode="_-&quot;$&quot;\ * #,##0_-;\-&quot;$&quot;\ * #,##0_-;_-&quot;$&quot;\ * &quot;-&quot;??_-;_-@_-"/>
    <numFmt numFmtId="167" formatCode="0.000"/>
  </numFmts>
  <fonts count="9">
    <font>
      <sz val="11"/>
      <color theme="1"/>
      <name val="Calibri"/>
      <family val="2"/>
      <scheme val="minor"/>
    </font>
    <font>
      <b/>
      <sz val="8.25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83E4"/>
      </patternFill>
    </fill>
    <fill>
      <patternFill patternType="solid">
        <fgColor rgb="FFDFDFD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8" fillId="0" borderId="0">
      <alignment wrapText="1"/>
    </xf>
  </cellStyleXfs>
  <cellXfs count="55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7" fontId="6" fillId="7" borderId="2" xfId="0" applyNumberFormat="1" applyFont="1" applyFill="1" applyBorder="1" applyAlignment="1">
      <alignment horizontal="center" vertical="center"/>
    </xf>
    <xf numFmtId="166" fontId="6" fillId="0" borderId="2" xfId="1" applyNumberFormat="1" applyFont="1" applyBorder="1" applyAlignment="1">
      <alignment horizontal="center" vertical="center"/>
    </xf>
    <xf numFmtId="166" fontId="0" fillId="7" borderId="1" xfId="1" applyNumberFormat="1" applyFon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165" fontId="0" fillId="0" borderId="0" xfId="0" applyNumberFormat="1"/>
    <xf numFmtId="164" fontId="0" fillId="0" borderId="0" xfId="1" applyFont="1"/>
    <xf numFmtId="164" fontId="6" fillId="7" borderId="2" xfId="1" applyFont="1" applyFill="1" applyBorder="1" applyAlignment="1">
      <alignment horizontal="center" vertical="center"/>
    </xf>
    <xf numFmtId="164" fontId="0" fillId="7" borderId="1" xfId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67" fontId="6" fillId="7" borderId="2" xfId="0" applyNumberFormat="1" applyFont="1" applyFill="1" applyBorder="1" applyAlignment="1">
      <alignment horizontal="center" vertical="center"/>
    </xf>
    <xf numFmtId="167" fontId="6" fillId="7" borderId="3" xfId="0" applyNumberFormat="1" applyFont="1" applyFill="1" applyBorder="1" applyAlignment="1">
      <alignment horizontal="center" vertical="center"/>
    </xf>
    <xf numFmtId="166" fontId="6" fillId="0" borderId="2" xfId="1" applyNumberFormat="1" applyFont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164" fontId="0" fillId="0" borderId="3" xfId="1" applyFont="1" applyBorder="1" applyAlignment="1">
      <alignment horizontal="center" vertical="center"/>
    </xf>
    <xf numFmtId="164" fontId="0" fillId="0" borderId="4" xfId="1" applyFont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167" fontId="6" fillId="7" borderId="4" xfId="0" applyNumberFormat="1" applyFont="1" applyFill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right" wrapText="1"/>
    </xf>
    <xf numFmtId="0" fontId="7" fillId="8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44" fontId="0" fillId="0" borderId="0" xfId="0" applyNumberFormat="1"/>
    <xf numFmtId="0" fontId="0" fillId="0" borderId="0" xfId="0" applyAlignment="1"/>
  </cellXfs>
  <cellStyles count="3">
    <cellStyle name="Moneda" xfId="1" builtinId="4"/>
    <cellStyle name="Normal" xfId="0" builtinId="0"/>
    <cellStyle name="Normal 2" xfId="2" xr:uid="{FC594082-7B82-4999-BE86-B7D47BB97A6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48"/>
  <sheetViews>
    <sheetView zoomScale="85" zoomScaleNormal="85" workbookViewId="0">
      <pane ySplit="2" topLeftCell="C3" activePane="bottomLeft" state="frozen"/>
      <selection pane="bottomLeft" activeCell="J6" sqref="J6"/>
    </sheetView>
  </sheetViews>
  <sheetFormatPr defaultColWidth="9.140625" defaultRowHeight="15" customHeight="1"/>
  <cols>
    <col min="1" max="1" width="21.28515625" customWidth="1"/>
    <col min="2" max="2" width="11.28515625" customWidth="1"/>
    <col min="3" max="3" width="21.28515625" customWidth="1"/>
    <col min="4" max="4" width="13.7109375" hidden="1" customWidth="1"/>
    <col min="5" max="5" width="11.28515625" customWidth="1"/>
    <col min="6" max="6" width="12.7109375" hidden="1" customWidth="1"/>
    <col min="7" max="7" width="17" customWidth="1"/>
    <col min="8" max="8" width="20.7109375" bestFit="1" customWidth="1"/>
    <col min="9" max="9" width="13.7109375" bestFit="1" customWidth="1"/>
    <col min="10" max="10" width="21.28515625" customWidth="1"/>
    <col min="11" max="11" width="15.5703125" customWidth="1"/>
    <col min="12" max="12" width="10" customWidth="1"/>
    <col min="13" max="13" width="52.7109375" hidden="1" customWidth="1"/>
    <col min="14" max="14" width="9.7109375" hidden="1" customWidth="1"/>
    <col min="15" max="15" width="7" hidden="1" customWidth="1"/>
    <col min="16" max="16" width="15.140625" customWidth="1"/>
    <col min="17" max="17" width="18.42578125" customWidth="1"/>
    <col min="18" max="18" width="9.7109375" bestFit="1" customWidth="1"/>
    <col min="19" max="19" width="8.42578125" customWidth="1"/>
    <col min="20" max="20" width="16.7109375" hidden="1" customWidth="1"/>
    <col min="21" max="21" width="11.7109375" hidden="1" customWidth="1"/>
    <col min="22" max="22" width="17" hidden="1" customWidth="1"/>
    <col min="23" max="23" width="31.7109375" bestFit="1" customWidth="1"/>
    <col min="24" max="24" width="7" customWidth="1"/>
    <col min="25" max="25" width="39.42578125" customWidth="1"/>
    <col min="26" max="26" width="14.7109375" bestFit="1" customWidth="1"/>
    <col min="27" max="27" width="15.7109375" bestFit="1" customWidth="1"/>
    <col min="28" max="28" width="11.7109375" bestFit="1" customWidth="1"/>
    <col min="29" max="29" width="28.42578125" customWidth="1"/>
  </cols>
  <sheetData>
    <row r="1" spans="1:29">
      <c r="Y1" s="46" t="s">
        <v>0</v>
      </c>
      <c r="Z1" s="54"/>
      <c r="AA1" s="54"/>
      <c r="AB1" s="54"/>
      <c r="AC1" s="54"/>
    </row>
    <row r="2" spans="1:29" ht="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60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33</v>
      </c>
      <c r="G3" s="2" t="s">
        <v>35</v>
      </c>
      <c r="H3" s="2" t="s">
        <v>36</v>
      </c>
      <c r="I3" s="2" t="s">
        <v>37</v>
      </c>
      <c r="J3" s="3">
        <v>45695.603228125001</v>
      </c>
      <c r="K3" s="2">
        <v>8.8109756097999998</v>
      </c>
      <c r="L3" s="2" t="s">
        <v>38</v>
      </c>
      <c r="M3" s="2" t="s">
        <v>39</v>
      </c>
      <c r="N3" s="2" t="s">
        <v>39</v>
      </c>
      <c r="O3" s="2">
        <v>0</v>
      </c>
      <c r="P3" s="2">
        <v>10660</v>
      </c>
      <c r="Q3" s="2">
        <v>93925</v>
      </c>
      <c r="R3" s="2" t="s">
        <v>40</v>
      </c>
      <c r="S3" s="2" t="s">
        <v>41</v>
      </c>
      <c r="T3" s="2" t="s">
        <v>33</v>
      </c>
      <c r="U3" s="2" t="s">
        <v>33</v>
      </c>
      <c r="V3" s="2" t="s">
        <v>33</v>
      </c>
      <c r="W3" s="2" t="s">
        <v>42</v>
      </c>
      <c r="X3" s="2" t="s">
        <v>43</v>
      </c>
      <c r="Y3" s="2" t="str">
        <f>HYPERLINK("http://srvdis221.distracom.com.co/consulta5/consultalite.aspx?nombrearchivador=Contabilidad&amp;valoresbusqueda=TIPO_DOCUMENTO=RM%20AND%20CONSECUTIVO=REDW122389","REDW122389")</f>
        <v>REDW122389</v>
      </c>
      <c r="Z3" s="2" t="s">
        <v>44</v>
      </c>
      <c r="AA3" s="2" t="s">
        <v>45</v>
      </c>
      <c r="AB3" s="2" t="s">
        <v>46</v>
      </c>
      <c r="AC3" s="2" t="s">
        <v>47</v>
      </c>
    </row>
    <row r="4" spans="1:29" ht="60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33</v>
      </c>
      <c r="G4" s="2" t="s">
        <v>35</v>
      </c>
      <c r="H4" s="2" t="s">
        <v>36</v>
      </c>
      <c r="I4" s="2" t="s">
        <v>37</v>
      </c>
      <c r="J4" s="3">
        <v>45701.309685879627</v>
      </c>
      <c r="K4" s="2">
        <v>10</v>
      </c>
      <c r="L4" s="2" t="s">
        <v>48</v>
      </c>
      <c r="M4" s="2" t="s">
        <v>39</v>
      </c>
      <c r="N4" s="2" t="s">
        <v>39</v>
      </c>
      <c r="O4" s="2">
        <v>0</v>
      </c>
      <c r="P4" s="2">
        <v>10640</v>
      </c>
      <c r="Q4" s="2">
        <v>106400</v>
      </c>
      <c r="R4" s="2" t="s">
        <v>40</v>
      </c>
      <c r="S4" s="2" t="s">
        <v>41</v>
      </c>
      <c r="T4" s="2" t="s">
        <v>33</v>
      </c>
      <c r="U4" s="2" t="s">
        <v>33</v>
      </c>
      <c r="V4" s="2" t="s">
        <v>33</v>
      </c>
      <c r="W4" s="2" t="s">
        <v>49</v>
      </c>
      <c r="X4" s="2" t="s">
        <v>50</v>
      </c>
      <c r="Y4" s="2" t="str">
        <f>HYPERLINK("http://srvdis221.distracom.com.co/consulta5/consultalite.aspx?nombrearchivador=Contabilidad&amp;valoresbusqueda=TIPO_DOCUMENTO=RM%20AND%20CONSECUTIVO=REDW122616","REDW122616")</f>
        <v>REDW122616</v>
      </c>
      <c r="Z4" s="2" t="s">
        <v>44</v>
      </c>
      <c r="AA4" s="2" t="s">
        <v>45</v>
      </c>
      <c r="AB4" s="2" t="s">
        <v>46</v>
      </c>
      <c r="AC4" s="2" t="s">
        <v>47</v>
      </c>
    </row>
    <row r="5" spans="1:29" ht="60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33</v>
      </c>
      <c r="G5" s="2" t="s">
        <v>35</v>
      </c>
      <c r="H5" s="2" t="s">
        <v>36</v>
      </c>
      <c r="I5" s="2" t="s">
        <v>37</v>
      </c>
      <c r="J5" s="3">
        <v>45706.338325578705</v>
      </c>
      <c r="K5" s="2">
        <v>10</v>
      </c>
      <c r="L5" s="2" t="s">
        <v>51</v>
      </c>
      <c r="M5" s="2" t="s">
        <v>39</v>
      </c>
      <c r="N5" s="2" t="s">
        <v>39</v>
      </c>
      <c r="O5" s="2">
        <v>0</v>
      </c>
      <c r="P5" s="2">
        <v>10640</v>
      </c>
      <c r="Q5" s="2">
        <v>106400</v>
      </c>
      <c r="R5" s="2" t="s">
        <v>40</v>
      </c>
      <c r="S5" s="2" t="s">
        <v>41</v>
      </c>
      <c r="T5" s="2" t="s">
        <v>33</v>
      </c>
      <c r="U5" s="2" t="s">
        <v>33</v>
      </c>
      <c r="V5" s="2" t="s">
        <v>33</v>
      </c>
      <c r="W5" s="2" t="s">
        <v>52</v>
      </c>
      <c r="X5" s="2" t="s">
        <v>53</v>
      </c>
      <c r="Y5" s="2" t="str">
        <f>HYPERLINK("http://srvdis221.distracom.com.co/consulta5/consultalite.aspx?nombrearchivador=Contabilidad&amp;valoresbusqueda=TIPO_DOCUMENTO=RM%20AND%20CONSECUTIVO=REDW122844","REDW122844")</f>
        <v>REDW122844</v>
      </c>
      <c r="Z5" s="2" t="s">
        <v>44</v>
      </c>
      <c r="AA5" s="2" t="s">
        <v>45</v>
      </c>
      <c r="AB5" s="2" t="s">
        <v>46</v>
      </c>
      <c r="AC5" s="2" t="s">
        <v>47</v>
      </c>
    </row>
    <row r="6" spans="1:29" ht="60">
      <c r="A6" s="2" t="s">
        <v>30</v>
      </c>
      <c r="B6" s="2" t="s">
        <v>54</v>
      </c>
      <c r="C6" s="2" t="s">
        <v>55</v>
      </c>
      <c r="D6" s="2" t="s">
        <v>33</v>
      </c>
      <c r="E6" s="2" t="s">
        <v>33</v>
      </c>
      <c r="F6" s="2" t="s">
        <v>33</v>
      </c>
      <c r="G6" s="2" t="s">
        <v>35</v>
      </c>
      <c r="H6" s="2" t="s">
        <v>36</v>
      </c>
      <c r="I6" s="2" t="s">
        <v>37</v>
      </c>
      <c r="J6" s="3">
        <v>45707.701779976851</v>
      </c>
      <c r="K6" s="2">
        <v>12</v>
      </c>
      <c r="L6" s="2" t="s">
        <v>39</v>
      </c>
      <c r="M6" s="2" t="s">
        <v>39</v>
      </c>
      <c r="N6" s="2" t="s">
        <v>39</v>
      </c>
      <c r="O6" s="2">
        <v>0</v>
      </c>
      <c r="P6" s="2">
        <v>10640</v>
      </c>
      <c r="Q6" s="2">
        <v>127680</v>
      </c>
      <c r="R6" s="2" t="s">
        <v>40</v>
      </c>
      <c r="S6" s="2" t="s">
        <v>41</v>
      </c>
      <c r="T6" s="2" t="s">
        <v>33</v>
      </c>
      <c r="U6" s="2" t="s">
        <v>33</v>
      </c>
      <c r="V6" s="2" t="s">
        <v>33</v>
      </c>
      <c r="W6" s="2" t="s">
        <v>56</v>
      </c>
      <c r="X6" s="2" t="s">
        <v>57</v>
      </c>
      <c r="Y6" s="2" t="str">
        <f>HYPERLINK("http://srvdis221.distracom.com.co/consulta5/consultalite.aspx?nombrearchivador=Contabilidad&amp;valoresbusqueda=TIPO_DOCUMENTO=RM%20AND%20CONSECUTIVO=REDW122929","REDW122929")</f>
        <v>REDW122929</v>
      </c>
      <c r="Z6" s="2" t="s">
        <v>44</v>
      </c>
      <c r="AA6" s="2" t="s">
        <v>45</v>
      </c>
      <c r="AB6" s="2" t="s">
        <v>46</v>
      </c>
      <c r="AC6" s="2" t="s">
        <v>47</v>
      </c>
    </row>
    <row r="7" spans="1:29" ht="60">
      <c r="A7" s="2" t="s">
        <v>30</v>
      </c>
      <c r="B7" s="2" t="s">
        <v>58</v>
      </c>
      <c r="C7" s="2" t="s">
        <v>59</v>
      </c>
      <c r="D7" s="2" t="s">
        <v>33</v>
      </c>
      <c r="E7" s="2" t="s">
        <v>60</v>
      </c>
      <c r="F7" s="2" t="s">
        <v>33</v>
      </c>
      <c r="G7" s="2" t="s">
        <v>35</v>
      </c>
      <c r="H7" s="2" t="s">
        <v>36</v>
      </c>
      <c r="I7" s="2" t="s">
        <v>37</v>
      </c>
      <c r="J7" s="3">
        <v>45708.761225000002</v>
      </c>
      <c r="K7" s="2">
        <v>5.6519736841999997</v>
      </c>
      <c r="L7" s="2" t="s">
        <v>61</v>
      </c>
      <c r="M7" s="2" t="s">
        <v>39</v>
      </c>
      <c r="N7" s="2" t="s">
        <v>39</v>
      </c>
      <c r="O7" s="2">
        <v>0</v>
      </c>
      <c r="P7" s="2">
        <v>10640</v>
      </c>
      <c r="Q7" s="2">
        <v>60137</v>
      </c>
      <c r="R7" s="2" t="s">
        <v>40</v>
      </c>
      <c r="S7" s="2" t="s">
        <v>41</v>
      </c>
      <c r="T7" s="2" t="s">
        <v>33</v>
      </c>
      <c r="U7" s="2" t="s">
        <v>33</v>
      </c>
      <c r="V7" s="2" t="s">
        <v>33</v>
      </c>
      <c r="W7" s="2" t="s">
        <v>52</v>
      </c>
      <c r="X7" s="2" t="s">
        <v>62</v>
      </c>
      <c r="Y7" s="2" t="str">
        <f>HYPERLINK("http://srvdis221.distracom.com.co/consulta5/consultalite.aspx?nombrearchivador=Contabilidad&amp;valoresbusqueda=TIPO_DOCUMENTO=RM%20AND%20CONSECUTIVO=REDW122981","REDW122981")</f>
        <v>REDW122981</v>
      </c>
      <c r="Z7" s="2" t="s">
        <v>44</v>
      </c>
      <c r="AA7" s="2" t="s">
        <v>45</v>
      </c>
      <c r="AB7" s="2" t="s">
        <v>46</v>
      </c>
      <c r="AC7" s="2" t="s">
        <v>47</v>
      </c>
    </row>
    <row r="8" spans="1:29" ht="60">
      <c r="A8" s="2" t="s">
        <v>30</v>
      </c>
      <c r="B8" s="2" t="s">
        <v>63</v>
      </c>
      <c r="C8" s="2" t="s">
        <v>64</v>
      </c>
      <c r="D8" s="2" t="s">
        <v>33</v>
      </c>
      <c r="E8" s="2" t="s">
        <v>65</v>
      </c>
      <c r="F8" s="2" t="s">
        <v>33</v>
      </c>
      <c r="G8" s="2" t="s">
        <v>35</v>
      </c>
      <c r="H8" s="2" t="s">
        <v>36</v>
      </c>
      <c r="I8" s="2" t="s">
        <v>37</v>
      </c>
      <c r="J8" s="3">
        <v>45709.567537384261</v>
      </c>
      <c r="K8" s="2">
        <v>10</v>
      </c>
      <c r="L8" s="2" t="s">
        <v>66</v>
      </c>
      <c r="M8" s="2" t="s">
        <v>39</v>
      </c>
      <c r="N8" s="2" t="s">
        <v>39</v>
      </c>
      <c r="O8" s="2">
        <v>0</v>
      </c>
      <c r="P8" s="2">
        <v>10640</v>
      </c>
      <c r="Q8" s="2">
        <v>106400</v>
      </c>
      <c r="R8" s="2" t="s">
        <v>40</v>
      </c>
      <c r="S8" s="2" t="s">
        <v>41</v>
      </c>
      <c r="T8" s="2" t="s">
        <v>33</v>
      </c>
      <c r="U8" s="2" t="s">
        <v>33</v>
      </c>
      <c r="V8" s="2" t="s">
        <v>33</v>
      </c>
      <c r="W8" s="2" t="s">
        <v>42</v>
      </c>
      <c r="X8" s="2" t="s">
        <v>67</v>
      </c>
      <c r="Y8" s="2" t="str">
        <f>HYPERLINK("http://srvdis221.distracom.com.co/consulta5/consultalite.aspx?nombrearchivador=Contabilidad&amp;valoresbusqueda=TIPO_DOCUMENTO=RM%20AND%20CONSECUTIVO=REDW123019","REDW123019")</f>
        <v>REDW123019</v>
      </c>
      <c r="Z8" s="2" t="s">
        <v>44</v>
      </c>
      <c r="AA8" s="2" t="s">
        <v>45</v>
      </c>
      <c r="AB8" s="2" t="s">
        <v>46</v>
      </c>
      <c r="AC8" s="2" t="s">
        <v>47</v>
      </c>
    </row>
    <row r="9" spans="1:29" ht="60">
      <c r="A9" s="2" t="s">
        <v>30</v>
      </c>
      <c r="B9" s="2" t="s">
        <v>31</v>
      </c>
      <c r="C9" s="2" t="s">
        <v>32</v>
      </c>
      <c r="D9" s="2" t="s">
        <v>33</v>
      </c>
      <c r="E9" s="2" t="s">
        <v>68</v>
      </c>
      <c r="F9" s="2" t="s">
        <v>33</v>
      </c>
      <c r="G9" s="2" t="s">
        <v>35</v>
      </c>
      <c r="H9" s="2" t="s">
        <v>36</v>
      </c>
      <c r="I9" s="2" t="s">
        <v>37</v>
      </c>
      <c r="J9" s="3">
        <v>45709.596686111108</v>
      </c>
      <c r="K9" s="2">
        <v>12</v>
      </c>
      <c r="L9" s="2" t="s">
        <v>69</v>
      </c>
      <c r="M9" s="2" t="s">
        <v>39</v>
      </c>
      <c r="N9" s="2" t="s">
        <v>39</v>
      </c>
      <c r="O9" s="2">
        <v>0</v>
      </c>
      <c r="P9" s="2">
        <v>10640</v>
      </c>
      <c r="Q9" s="2">
        <v>127680</v>
      </c>
      <c r="R9" s="2" t="s">
        <v>40</v>
      </c>
      <c r="S9" s="2" t="s">
        <v>41</v>
      </c>
      <c r="T9" s="2" t="s">
        <v>33</v>
      </c>
      <c r="U9" s="2" t="s">
        <v>33</v>
      </c>
      <c r="V9" s="2" t="s">
        <v>33</v>
      </c>
      <c r="W9" s="2" t="s">
        <v>70</v>
      </c>
      <c r="X9" s="2" t="s">
        <v>71</v>
      </c>
      <c r="Y9" s="2" t="str">
        <f>HYPERLINK("http://srvdis221.distracom.com.co/consulta5/consultalite.aspx?nombrearchivador=Contabilidad&amp;valoresbusqueda=TIPO_DOCUMENTO=RM%20AND%20CONSECUTIVO=REDW123020","REDW123020")</f>
        <v>REDW123020</v>
      </c>
      <c r="Z9" s="2" t="s">
        <v>44</v>
      </c>
      <c r="AA9" s="2" t="s">
        <v>45</v>
      </c>
      <c r="AB9" s="2" t="s">
        <v>46</v>
      </c>
      <c r="AC9" s="2" t="s">
        <v>47</v>
      </c>
    </row>
    <row r="10" spans="1:29" ht="60">
      <c r="A10" s="2" t="s">
        <v>30</v>
      </c>
      <c r="B10" s="2" t="s">
        <v>31</v>
      </c>
      <c r="C10" s="2" t="s">
        <v>32</v>
      </c>
      <c r="D10" s="2" t="s">
        <v>33</v>
      </c>
      <c r="E10" s="2" t="s">
        <v>68</v>
      </c>
      <c r="F10" s="2" t="s">
        <v>33</v>
      </c>
      <c r="G10" s="2" t="s">
        <v>35</v>
      </c>
      <c r="H10" s="2" t="s">
        <v>36</v>
      </c>
      <c r="I10" s="2" t="s">
        <v>37</v>
      </c>
      <c r="J10" s="3">
        <v>45714.599585185184</v>
      </c>
      <c r="K10" s="2">
        <v>12</v>
      </c>
      <c r="L10" s="2" t="s">
        <v>72</v>
      </c>
      <c r="M10" s="2" t="s">
        <v>39</v>
      </c>
      <c r="N10" s="2" t="s">
        <v>39</v>
      </c>
      <c r="O10" s="2">
        <v>0</v>
      </c>
      <c r="P10" s="2">
        <v>10640</v>
      </c>
      <c r="Q10" s="2">
        <v>127680</v>
      </c>
      <c r="R10" s="2" t="s">
        <v>40</v>
      </c>
      <c r="S10" s="2" t="s">
        <v>41</v>
      </c>
      <c r="T10" s="2" t="s">
        <v>33</v>
      </c>
      <c r="U10" s="2" t="s">
        <v>33</v>
      </c>
      <c r="V10" s="2" t="s">
        <v>33</v>
      </c>
      <c r="W10" s="2" t="s">
        <v>56</v>
      </c>
      <c r="X10" s="2" t="s">
        <v>73</v>
      </c>
      <c r="Y10" s="2" t="str">
        <f>HYPERLINK("http://srvdis221.distracom.com.co/consulta5/consultalite.aspx?nombrearchivador=Contabilidad&amp;valoresbusqueda=TIPO_DOCUMENTO=RM%20AND%20CONSECUTIVO=REDW123229","REDW123229")</f>
        <v>REDW123229</v>
      </c>
      <c r="Z10" s="2" t="s">
        <v>44</v>
      </c>
      <c r="AA10" s="2" t="s">
        <v>45</v>
      </c>
      <c r="AB10" s="2" t="s">
        <v>46</v>
      </c>
      <c r="AC10" s="2" t="s">
        <v>47</v>
      </c>
    </row>
    <row r="11" spans="1:29" ht="60">
      <c r="A11" s="2" t="s">
        <v>30</v>
      </c>
      <c r="B11" s="2" t="s">
        <v>63</v>
      </c>
      <c r="C11" s="2" t="s">
        <v>64</v>
      </c>
      <c r="D11" s="2" t="s">
        <v>33</v>
      </c>
      <c r="E11" s="2" t="s">
        <v>65</v>
      </c>
      <c r="F11" s="2" t="s">
        <v>33</v>
      </c>
      <c r="G11" s="2" t="s">
        <v>35</v>
      </c>
      <c r="H11" s="2" t="s">
        <v>36</v>
      </c>
      <c r="I11" s="2" t="s">
        <v>37</v>
      </c>
      <c r="J11" s="3">
        <v>45716.561828472222</v>
      </c>
      <c r="K11" s="2">
        <v>10</v>
      </c>
      <c r="L11" s="2" t="s">
        <v>74</v>
      </c>
      <c r="M11" s="2" t="s">
        <v>39</v>
      </c>
      <c r="N11" s="2" t="s">
        <v>39</v>
      </c>
      <c r="O11" s="2">
        <v>0</v>
      </c>
      <c r="P11" s="2">
        <v>10640</v>
      </c>
      <c r="Q11" s="2">
        <v>106400</v>
      </c>
      <c r="R11" s="2" t="s">
        <v>40</v>
      </c>
      <c r="S11" s="2" t="s">
        <v>41</v>
      </c>
      <c r="T11" s="2" t="s">
        <v>33</v>
      </c>
      <c r="U11" s="2" t="s">
        <v>33</v>
      </c>
      <c r="V11" s="2" t="s">
        <v>33</v>
      </c>
      <c r="W11" s="2" t="s">
        <v>70</v>
      </c>
      <c r="X11" s="2" t="s">
        <v>75</v>
      </c>
      <c r="Y11" s="2" t="str">
        <f>HYPERLINK("http://srvdis221.distracom.com.co/consulta5/consultalite.aspx?nombrearchivador=Contabilidad&amp;valoresbusqueda=TIPO_DOCUMENTO=RM%20AND%20CONSECUTIVO=REDW123351","REDW123351")</f>
        <v>REDW123351</v>
      </c>
      <c r="Z11" s="2" t="s">
        <v>44</v>
      </c>
      <c r="AA11" s="2" t="s">
        <v>45</v>
      </c>
      <c r="AB11" s="2" t="s">
        <v>46</v>
      </c>
      <c r="AC11" s="2" t="s">
        <v>47</v>
      </c>
    </row>
    <row r="12" spans="1:29" ht="60" hidden="1">
      <c r="A12" s="2" t="s">
        <v>30</v>
      </c>
      <c r="B12" s="2" t="s">
        <v>31</v>
      </c>
      <c r="C12" s="2" t="s">
        <v>32</v>
      </c>
      <c r="D12" s="2" t="s">
        <v>33</v>
      </c>
      <c r="E12" s="2" t="s">
        <v>68</v>
      </c>
      <c r="F12" s="2" t="s">
        <v>33</v>
      </c>
      <c r="G12" s="2" t="s">
        <v>35</v>
      </c>
      <c r="H12" s="2" t="s">
        <v>36</v>
      </c>
      <c r="I12" s="2" t="s">
        <v>37</v>
      </c>
      <c r="J12" s="3">
        <v>45720.472995370372</v>
      </c>
      <c r="K12" s="2">
        <v>12</v>
      </c>
      <c r="L12" s="2" t="s">
        <v>76</v>
      </c>
      <c r="M12" s="2" t="s">
        <v>39</v>
      </c>
      <c r="N12" s="2" t="s">
        <v>39</v>
      </c>
      <c r="O12" s="2">
        <v>0</v>
      </c>
      <c r="P12" s="2">
        <v>10640</v>
      </c>
      <c r="Q12" s="2">
        <v>127680</v>
      </c>
      <c r="R12" s="2" t="s">
        <v>40</v>
      </c>
      <c r="S12" s="2" t="s">
        <v>41</v>
      </c>
      <c r="T12" s="2" t="s">
        <v>33</v>
      </c>
      <c r="U12" s="2" t="s">
        <v>33</v>
      </c>
      <c r="V12" s="2" t="s">
        <v>33</v>
      </c>
      <c r="W12" s="2" t="s">
        <v>42</v>
      </c>
      <c r="X12" s="2" t="s">
        <v>77</v>
      </c>
      <c r="Y12" s="2" t="str">
        <f>HYPERLINK("http://srvdis221.distracom.com.co/consulta5/consultalite.aspx?nombrearchivador=Contabilidad&amp;valoresbusqueda=TIPO_DOCUMENTO=RM%20AND%20CONSECUTIVO=REDW123500","REDW123500")</f>
        <v>REDW123500</v>
      </c>
      <c r="Z12" s="2" t="s">
        <v>44</v>
      </c>
      <c r="AA12" s="2" t="s">
        <v>45</v>
      </c>
      <c r="AB12" s="2" t="s">
        <v>46</v>
      </c>
      <c r="AC12" s="2" t="s">
        <v>47</v>
      </c>
    </row>
    <row r="13" spans="1:29" ht="60" hidden="1">
      <c r="A13" s="2" t="s">
        <v>30</v>
      </c>
      <c r="B13" s="2" t="s">
        <v>63</v>
      </c>
      <c r="C13" s="2" t="s">
        <v>64</v>
      </c>
      <c r="D13" s="2" t="s">
        <v>33</v>
      </c>
      <c r="E13" s="2" t="s">
        <v>65</v>
      </c>
      <c r="F13" s="2" t="s">
        <v>33</v>
      </c>
      <c r="G13" s="2" t="s">
        <v>35</v>
      </c>
      <c r="H13" s="2" t="s">
        <v>36</v>
      </c>
      <c r="I13" s="2" t="s">
        <v>37</v>
      </c>
      <c r="J13" s="3">
        <v>45721.68087384259</v>
      </c>
      <c r="K13" s="2">
        <v>6.8790413533999999</v>
      </c>
      <c r="L13" s="2" t="s">
        <v>78</v>
      </c>
      <c r="M13" s="2" t="s">
        <v>39</v>
      </c>
      <c r="N13" s="2" t="s">
        <v>39</v>
      </c>
      <c r="O13" s="2">
        <v>0</v>
      </c>
      <c r="P13" s="2">
        <v>10640</v>
      </c>
      <c r="Q13" s="2">
        <v>73193</v>
      </c>
      <c r="R13" s="2" t="s">
        <v>40</v>
      </c>
      <c r="S13" s="2" t="s">
        <v>41</v>
      </c>
      <c r="T13" s="2" t="s">
        <v>79</v>
      </c>
      <c r="U13" s="2" t="s">
        <v>33</v>
      </c>
      <c r="V13" s="2" t="s">
        <v>33</v>
      </c>
      <c r="W13" s="2" t="s">
        <v>42</v>
      </c>
      <c r="X13" s="2" t="s">
        <v>80</v>
      </c>
      <c r="Y13" s="2" t="str">
        <f>HYPERLINK("http://srvdis221.distracom.com.co/consulta5/consultalite.aspx?nombrearchivador=Contabilidad&amp;valoresbusqueda=TIPO_DOCUMENTO=RM%20AND%20CONSECUTIVO=REDW123550","REDW123550")</f>
        <v>REDW123550</v>
      </c>
      <c r="Z13" s="2" t="s">
        <v>44</v>
      </c>
      <c r="AA13" s="2" t="s">
        <v>45</v>
      </c>
      <c r="AB13" s="2" t="s">
        <v>46</v>
      </c>
      <c r="AC13" s="2" t="s">
        <v>47</v>
      </c>
    </row>
    <row r="14" spans="1:29" ht="60" hidden="1">
      <c r="A14" s="2" t="s">
        <v>30</v>
      </c>
      <c r="B14" s="2" t="s">
        <v>31</v>
      </c>
      <c r="C14" s="2" t="s">
        <v>32</v>
      </c>
      <c r="D14" s="2" t="s">
        <v>33</v>
      </c>
      <c r="E14" s="2" t="s">
        <v>68</v>
      </c>
      <c r="F14" s="2" t="s">
        <v>33</v>
      </c>
      <c r="G14" s="2" t="s">
        <v>35</v>
      </c>
      <c r="H14" s="2" t="s">
        <v>36</v>
      </c>
      <c r="I14" s="2" t="s">
        <v>37</v>
      </c>
      <c r="J14" s="3">
        <v>45723.54437546296</v>
      </c>
      <c r="K14" s="2">
        <v>12</v>
      </c>
      <c r="L14" s="2" t="s">
        <v>81</v>
      </c>
      <c r="M14" s="2" t="s">
        <v>39</v>
      </c>
      <c r="N14" s="2" t="s">
        <v>39</v>
      </c>
      <c r="O14" s="2">
        <v>0</v>
      </c>
      <c r="P14" s="2">
        <v>10640</v>
      </c>
      <c r="Q14" s="2">
        <v>127680</v>
      </c>
      <c r="R14" s="2" t="s">
        <v>40</v>
      </c>
      <c r="S14" s="2" t="s">
        <v>41</v>
      </c>
      <c r="T14" s="2" t="s">
        <v>33</v>
      </c>
      <c r="U14" s="2" t="s">
        <v>33</v>
      </c>
      <c r="V14" s="2" t="s">
        <v>33</v>
      </c>
      <c r="W14" s="2" t="s">
        <v>56</v>
      </c>
      <c r="X14" s="2" t="s">
        <v>82</v>
      </c>
      <c r="Y14" s="2" t="str">
        <f>HYPERLINK("http://srvdis221.distracom.com.co/consulta5/consultalite.aspx?nombrearchivador=Contabilidad&amp;valoresbusqueda=TIPO_DOCUMENTO=RM%20AND%20CONSECUTIVO=REDW123659","REDW123659")</f>
        <v>REDW123659</v>
      </c>
      <c r="Z14" s="2" t="s">
        <v>44</v>
      </c>
      <c r="AA14" s="2" t="s">
        <v>45</v>
      </c>
      <c r="AB14" s="2" t="s">
        <v>46</v>
      </c>
      <c r="AC14" s="2" t="s">
        <v>47</v>
      </c>
    </row>
    <row r="15" spans="1:29" ht="60" hidden="1">
      <c r="A15" s="2" t="s">
        <v>30</v>
      </c>
      <c r="B15" s="2" t="s">
        <v>63</v>
      </c>
      <c r="C15" s="2" t="s">
        <v>64</v>
      </c>
      <c r="D15" s="2" t="s">
        <v>33</v>
      </c>
      <c r="E15" s="2" t="s">
        <v>65</v>
      </c>
      <c r="F15" s="2" t="s">
        <v>33</v>
      </c>
      <c r="G15" s="2" t="s">
        <v>35</v>
      </c>
      <c r="H15" s="2" t="s">
        <v>36</v>
      </c>
      <c r="I15" s="2" t="s">
        <v>37</v>
      </c>
      <c r="J15" s="3">
        <v>45723.674163657408</v>
      </c>
      <c r="K15" s="2">
        <v>3.1200187970000002</v>
      </c>
      <c r="L15" s="2" t="s">
        <v>83</v>
      </c>
      <c r="M15" s="2" t="s">
        <v>39</v>
      </c>
      <c r="N15" s="2" t="s">
        <v>39</v>
      </c>
      <c r="O15" s="2">
        <v>0</v>
      </c>
      <c r="P15" s="2">
        <v>10640</v>
      </c>
      <c r="Q15" s="2">
        <v>33197</v>
      </c>
      <c r="R15" s="2" t="s">
        <v>40</v>
      </c>
      <c r="S15" s="2" t="s">
        <v>41</v>
      </c>
      <c r="T15" s="2" t="s">
        <v>33</v>
      </c>
      <c r="U15" s="2" t="s">
        <v>33</v>
      </c>
      <c r="V15" s="2" t="s">
        <v>33</v>
      </c>
      <c r="W15" s="2" t="s">
        <v>52</v>
      </c>
      <c r="X15" s="2" t="s">
        <v>84</v>
      </c>
      <c r="Y15" s="2" t="str">
        <f>HYPERLINK("http://srvdis221.distracom.com.co/consulta5/consultalite.aspx?nombrearchivador=Contabilidad&amp;valoresbusqueda=TIPO_DOCUMENTO=RM%20AND%20CONSECUTIVO=REDW123673","REDW123673")</f>
        <v>REDW123673</v>
      </c>
      <c r="Z15" s="2" t="s">
        <v>44</v>
      </c>
      <c r="AA15" s="2" t="s">
        <v>45</v>
      </c>
      <c r="AB15" s="2" t="s">
        <v>46</v>
      </c>
      <c r="AC15" s="2" t="s">
        <v>47</v>
      </c>
    </row>
    <row r="16" spans="1:29" ht="60" hidden="1">
      <c r="A16" s="2" t="s">
        <v>30</v>
      </c>
      <c r="B16" s="2" t="s">
        <v>63</v>
      </c>
      <c r="C16" s="2" t="s">
        <v>64</v>
      </c>
      <c r="D16" s="2" t="s">
        <v>33</v>
      </c>
      <c r="E16" s="2" t="s">
        <v>65</v>
      </c>
      <c r="F16" s="2" t="s">
        <v>33</v>
      </c>
      <c r="G16" s="2" t="s">
        <v>35</v>
      </c>
      <c r="H16" s="2" t="s">
        <v>36</v>
      </c>
      <c r="I16" s="2" t="s">
        <v>37</v>
      </c>
      <c r="J16" s="3">
        <v>45728.517356597222</v>
      </c>
      <c r="K16" s="2">
        <v>10</v>
      </c>
      <c r="L16" s="2" t="s">
        <v>85</v>
      </c>
      <c r="M16" s="2" t="s">
        <v>39</v>
      </c>
      <c r="N16" s="2" t="s">
        <v>39</v>
      </c>
      <c r="O16" s="2">
        <v>0</v>
      </c>
      <c r="P16" s="2">
        <v>10640</v>
      </c>
      <c r="Q16" s="2">
        <v>106400</v>
      </c>
      <c r="R16" s="2" t="s">
        <v>40</v>
      </c>
      <c r="S16" s="2" t="s">
        <v>41</v>
      </c>
      <c r="T16" s="2" t="s">
        <v>86</v>
      </c>
      <c r="U16" s="2" t="s">
        <v>33</v>
      </c>
      <c r="V16" s="2" t="s">
        <v>33</v>
      </c>
      <c r="W16" s="2" t="s">
        <v>87</v>
      </c>
      <c r="X16" s="2" t="s">
        <v>88</v>
      </c>
      <c r="Y16" s="2" t="str">
        <f>HYPERLINK("http://srvdis221.distracom.com.co/consulta5/consultalite.aspx?nombrearchivador=Contabilidad&amp;valoresbusqueda=TIPO_DOCUMENTO=RM%20AND%20CONSECUTIVO=REDW123920","REDW123920")</f>
        <v>REDW123920</v>
      </c>
      <c r="Z16" s="2" t="s">
        <v>44</v>
      </c>
      <c r="AA16" s="2" t="s">
        <v>45</v>
      </c>
      <c r="AB16" s="2" t="s">
        <v>46</v>
      </c>
      <c r="AC16" s="2" t="s">
        <v>47</v>
      </c>
    </row>
    <row r="17" spans="1:29" ht="60" hidden="1">
      <c r="A17" s="2" t="s">
        <v>30</v>
      </c>
      <c r="B17" s="2" t="s">
        <v>58</v>
      </c>
      <c r="C17" s="2" t="s">
        <v>59</v>
      </c>
      <c r="D17" s="2" t="s">
        <v>33</v>
      </c>
      <c r="E17" s="2" t="s">
        <v>60</v>
      </c>
      <c r="F17" s="2" t="s">
        <v>33</v>
      </c>
      <c r="G17" s="2" t="s">
        <v>35</v>
      </c>
      <c r="H17" s="2" t="s">
        <v>36</v>
      </c>
      <c r="I17" s="2" t="s">
        <v>37</v>
      </c>
      <c r="J17" s="3">
        <v>45728.721828472226</v>
      </c>
      <c r="K17" s="2">
        <v>2.3510338345999999</v>
      </c>
      <c r="L17" s="2" t="s">
        <v>89</v>
      </c>
      <c r="M17" s="2" t="s">
        <v>39</v>
      </c>
      <c r="N17" s="2" t="s">
        <v>39</v>
      </c>
      <c r="O17" s="2">
        <v>0</v>
      </c>
      <c r="P17" s="2">
        <v>10640</v>
      </c>
      <c r="Q17" s="2">
        <v>25015</v>
      </c>
      <c r="R17" s="2" t="s">
        <v>40</v>
      </c>
      <c r="S17" s="2" t="s">
        <v>41</v>
      </c>
      <c r="T17" s="2" t="s">
        <v>33</v>
      </c>
      <c r="U17" s="2" t="s">
        <v>33</v>
      </c>
      <c r="V17" s="2" t="s">
        <v>33</v>
      </c>
      <c r="W17" s="2" t="s">
        <v>52</v>
      </c>
      <c r="X17" s="2" t="s">
        <v>90</v>
      </c>
      <c r="Y17" s="2" t="str">
        <f>HYPERLINK("http://srvdis221.distracom.com.co/consulta5/consultalite.aspx?nombrearchivador=Contabilidad&amp;valoresbusqueda=TIPO_DOCUMENTO=RM%20AND%20CONSECUTIVO=REDW123931","REDW123931")</f>
        <v>REDW123931</v>
      </c>
      <c r="Z17" s="2" t="s">
        <v>44</v>
      </c>
      <c r="AA17" s="2" t="s">
        <v>45</v>
      </c>
      <c r="AB17" s="2" t="s">
        <v>46</v>
      </c>
      <c r="AC17" s="2" t="s">
        <v>47</v>
      </c>
    </row>
    <row r="18" spans="1:29" ht="60" hidden="1">
      <c r="A18" s="2" t="s">
        <v>30</v>
      </c>
      <c r="B18" s="2" t="s">
        <v>31</v>
      </c>
      <c r="C18" s="2" t="s">
        <v>32</v>
      </c>
      <c r="D18" s="2" t="s">
        <v>33</v>
      </c>
      <c r="E18" s="2" t="s">
        <v>68</v>
      </c>
      <c r="F18" s="2" t="s">
        <v>33</v>
      </c>
      <c r="G18" s="2" t="s">
        <v>35</v>
      </c>
      <c r="H18" s="2" t="s">
        <v>36</v>
      </c>
      <c r="I18" s="2" t="s">
        <v>37</v>
      </c>
      <c r="J18" s="3">
        <v>45729.393219328704</v>
      </c>
      <c r="K18" s="2">
        <v>12</v>
      </c>
      <c r="L18" s="2" t="s">
        <v>91</v>
      </c>
      <c r="M18" s="2" t="s">
        <v>39</v>
      </c>
      <c r="N18" s="2" t="s">
        <v>39</v>
      </c>
      <c r="O18" s="2">
        <v>0</v>
      </c>
      <c r="P18" s="2">
        <v>10640</v>
      </c>
      <c r="Q18" s="2">
        <v>127680</v>
      </c>
      <c r="R18" s="2" t="s">
        <v>40</v>
      </c>
      <c r="S18" s="2" t="s">
        <v>41</v>
      </c>
      <c r="T18" s="2" t="s">
        <v>86</v>
      </c>
      <c r="U18" s="2" t="s">
        <v>33</v>
      </c>
      <c r="V18" s="2" t="s">
        <v>33</v>
      </c>
      <c r="W18" s="2" t="s">
        <v>42</v>
      </c>
      <c r="X18" s="2" t="s">
        <v>92</v>
      </c>
      <c r="Y18" s="2" t="str">
        <f>HYPERLINK("http://srvdis221.distracom.com.co/consulta5/consultalite.aspx?nombrearchivador=Contabilidad&amp;valoresbusqueda=TIPO_DOCUMENTO=RM%20AND%20CONSECUTIVO=REDW123972","REDW123972")</f>
        <v>REDW123972</v>
      </c>
      <c r="Z18" s="2" t="s">
        <v>44</v>
      </c>
      <c r="AA18" s="2" t="s">
        <v>45</v>
      </c>
      <c r="AB18" s="2" t="s">
        <v>46</v>
      </c>
      <c r="AC18" s="2" t="s">
        <v>47</v>
      </c>
    </row>
    <row r="19" spans="1:29" ht="60" hidden="1">
      <c r="A19" s="2" t="s">
        <v>30</v>
      </c>
      <c r="B19" s="2" t="s">
        <v>31</v>
      </c>
      <c r="C19" s="2" t="s">
        <v>32</v>
      </c>
      <c r="D19" s="2" t="s">
        <v>33</v>
      </c>
      <c r="E19" s="2" t="s">
        <v>68</v>
      </c>
      <c r="F19" s="2" t="s">
        <v>33</v>
      </c>
      <c r="G19" s="2" t="s">
        <v>35</v>
      </c>
      <c r="H19" s="2" t="s">
        <v>36</v>
      </c>
      <c r="I19" s="2" t="s">
        <v>37</v>
      </c>
      <c r="J19" s="3">
        <v>45733.320847569441</v>
      </c>
      <c r="K19" s="2">
        <v>12</v>
      </c>
      <c r="L19" s="2" t="s">
        <v>93</v>
      </c>
      <c r="M19" s="2" t="s">
        <v>39</v>
      </c>
      <c r="N19" s="2" t="s">
        <v>39</v>
      </c>
      <c r="O19" s="2">
        <v>0</v>
      </c>
      <c r="P19" s="2">
        <v>10640</v>
      </c>
      <c r="Q19" s="2">
        <v>127680</v>
      </c>
      <c r="R19" s="2" t="s">
        <v>40</v>
      </c>
      <c r="S19" s="2" t="s">
        <v>41</v>
      </c>
      <c r="T19" s="2" t="s">
        <v>33</v>
      </c>
      <c r="U19" s="2" t="s">
        <v>33</v>
      </c>
      <c r="V19" s="2" t="s">
        <v>33</v>
      </c>
      <c r="W19" s="2" t="s">
        <v>52</v>
      </c>
      <c r="X19" s="2" t="s">
        <v>94</v>
      </c>
      <c r="Y19" s="2" t="str">
        <f>HYPERLINK("http://srvdis221.distracom.com.co/consulta5/consultalite.aspx?nombrearchivador=Contabilidad&amp;valoresbusqueda=TIPO_DOCUMENTO=RM%20AND%20CONSECUTIVO=REDW124116","REDW124116")</f>
        <v>REDW124116</v>
      </c>
      <c r="Z19" s="2" t="s">
        <v>44</v>
      </c>
      <c r="AA19" s="2" t="s">
        <v>45</v>
      </c>
      <c r="AB19" s="2" t="s">
        <v>46</v>
      </c>
      <c r="AC19" s="2" t="s">
        <v>47</v>
      </c>
    </row>
    <row r="20" spans="1:29" ht="60" hidden="1">
      <c r="A20" s="2" t="s">
        <v>30</v>
      </c>
      <c r="B20" s="2" t="s">
        <v>31</v>
      </c>
      <c r="C20" s="2" t="s">
        <v>32</v>
      </c>
      <c r="D20" s="2" t="s">
        <v>33</v>
      </c>
      <c r="E20" s="2" t="s">
        <v>68</v>
      </c>
      <c r="F20" s="2" t="s">
        <v>33</v>
      </c>
      <c r="G20" s="2" t="s">
        <v>35</v>
      </c>
      <c r="H20" s="2" t="s">
        <v>36</v>
      </c>
      <c r="I20" s="2" t="s">
        <v>37</v>
      </c>
      <c r="J20" s="3">
        <v>45736.623242245369</v>
      </c>
      <c r="K20" s="2">
        <v>11.8189849624</v>
      </c>
      <c r="L20" s="2" t="s">
        <v>95</v>
      </c>
      <c r="M20" s="2" t="s">
        <v>39</v>
      </c>
      <c r="N20" s="2" t="s">
        <v>39</v>
      </c>
      <c r="O20" s="2">
        <v>0</v>
      </c>
      <c r="P20" s="2">
        <v>10640</v>
      </c>
      <c r="Q20" s="2">
        <v>125754</v>
      </c>
      <c r="R20" s="2" t="s">
        <v>40</v>
      </c>
      <c r="S20" s="2" t="s">
        <v>41</v>
      </c>
      <c r="T20" s="2" t="s">
        <v>33</v>
      </c>
      <c r="U20" s="2" t="s">
        <v>33</v>
      </c>
      <c r="V20" s="2" t="s">
        <v>33</v>
      </c>
      <c r="W20" s="2" t="s">
        <v>56</v>
      </c>
      <c r="X20" s="2" t="s">
        <v>96</v>
      </c>
      <c r="Y20" s="2" t="str">
        <f>HYPERLINK("http://srvdis221.distracom.com.co/consulta5/consultalite.aspx?nombrearchivador=Contabilidad&amp;valoresbusqueda=TIPO_DOCUMENTO=RM%20AND%20CONSECUTIVO=REDW124326","REDW124326")</f>
        <v>REDW124326</v>
      </c>
      <c r="Z20" s="2" t="s">
        <v>44</v>
      </c>
      <c r="AA20" s="2" t="s">
        <v>45</v>
      </c>
      <c r="AB20" s="2" t="s">
        <v>46</v>
      </c>
      <c r="AC20" s="2" t="s">
        <v>47</v>
      </c>
    </row>
    <row r="21" spans="1:29" ht="60" hidden="1">
      <c r="A21" s="2" t="s">
        <v>30</v>
      </c>
      <c r="B21" s="2" t="s">
        <v>63</v>
      </c>
      <c r="C21" s="2" t="s">
        <v>64</v>
      </c>
      <c r="D21" s="2" t="s">
        <v>33</v>
      </c>
      <c r="E21" s="2" t="s">
        <v>65</v>
      </c>
      <c r="F21" s="2" t="s">
        <v>33</v>
      </c>
      <c r="G21" s="2" t="s">
        <v>35</v>
      </c>
      <c r="H21" s="2" t="s">
        <v>36</v>
      </c>
      <c r="I21" s="2" t="s">
        <v>37</v>
      </c>
      <c r="J21" s="3">
        <v>45737.560750578705</v>
      </c>
      <c r="K21" s="2">
        <v>9.5920112781999993</v>
      </c>
      <c r="L21" s="2" t="s">
        <v>97</v>
      </c>
      <c r="M21" s="2" t="s">
        <v>39</v>
      </c>
      <c r="N21" s="2" t="s">
        <v>39</v>
      </c>
      <c r="O21" s="2">
        <v>0</v>
      </c>
      <c r="P21" s="2">
        <v>10640</v>
      </c>
      <c r="Q21" s="2">
        <v>102059</v>
      </c>
      <c r="R21" s="2" t="s">
        <v>40</v>
      </c>
      <c r="S21" s="2" t="s">
        <v>41</v>
      </c>
      <c r="T21" s="2" t="s">
        <v>33</v>
      </c>
      <c r="U21" s="2" t="s">
        <v>33</v>
      </c>
      <c r="V21" s="2" t="s">
        <v>33</v>
      </c>
      <c r="W21" s="2" t="s">
        <v>52</v>
      </c>
      <c r="X21" s="2" t="s">
        <v>98</v>
      </c>
      <c r="Y21" s="2" t="str">
        <f>HYPERLINK("http://srvdis221.distracom.com.co/consulta5/consultalite.aspx?nombrearchivador=Contabilidad&amp;valoresbusqueda=TIPO_DOCUMENTO=RM%20AND%20CONSECUTIVO=REDW124386","REDW124386")</f>
        <v>REDW124386</v>
      </c>
      <c r="Z21" s="2" t="s">
        <v>44</v>
      </c>
      <c r="AA21" s="2" t="s">
        <v>45</v>
      </c>
      <c r="AB21" s="2" t="s">
        <v>46</v>
      </c>
      <c r="AC21" s="2" t="s">
        <v>47</v>
      </c>
    </row>
    <row r="22" spans="1:29" ht="60" hidden="1">
      <c r="A22" s="2" t="s">
        <v>30</v>
      </c>
      <c r="B22" s="2" t="s">
        <v>63</v>
      </c>
      <c r="C22" s="2" t="s">
        <v>64</v>
      </c>
      <c r="D22" s="2" t="s">
        <v>33</v>
      </c>
      <c r="E22" s="2" t="s">
        <v>65</v>
      </c>
      <c r="F22" s="2" t="s">
        <v>33</v>
      </c>
      <c r="G22" s="2" t="s">
        <v>35</v>
      </c>
      <c r="H22" s="2" t="s">
        <v>36</v>
      </c>
      <c r="I22" s="2" t="s">
        <v>37</v>
      </c>
      <c r="J22" s="3">
        <v>45741.844292476853</v>
      </c>
      <c r="K22" s="2">
        <v>10</v>
      </c>
      <c r="L22" s="2" t="s">
        <v>99</v>
      </c>
      <c r="M22" s="2" t="s">
        <v>39</v>
      </c>
      <c r="N22" s="2" t="s">
        <v>39</v>
      </c>
      <c r="O22" s="2">
        <v>0</v>
      </c>
      <c r="P22" s="2">
        <v>10720</v>
      </c>
      <c r="Q22" s="2">
        <v>107200</v>
      </c>
      <c r="R22" s="2" t="s">
        <v>40</v>
      </c>
      <c r="S22" s="2" t="s">
        <v>41</v>
      </c>
      <c r="T22" s="2" t="s">
        <v>33</v>
      </c>
      <c r="U22" s="2" t="s">
        <v>33</v>
      </c>
      <c r="V22" s="2" t="s">
        <v>33</v>
      </c>
      <c r="W22" s="2" t="s">
        <v>56</v>
      </c>
      <c r="X22" s="2" t="s">
        <v>100</v>
      </c>
      <c r="Y22" s="2" t="str">
        <f>HYPERLINK("http://srvdis221.distracom.com.co/consulta5/consultalite.aspx?nombrearchivador=Contabilidad&amp;valoresbusqueda=TIPO_DOCUMENTO=RM%20AND%20CONSECUTIVO=REDW124531","REDW124531")</f>
        <v>REDW124531</v>
      </c>
      <c r="Z22" s="2" t="s">
        <v>44</v>
      </c>
      <c r="AA22" s="2" t="s">
        <v>45</v>
      </c>
      <c r="AB22" s="2" t="s">
        <v>46</v>
      </c>
      <c r="AC22" s="2" t="s">
        <v>47</v>
      </c>
    </row>
    <row r="23" spans="1:29" ht="60" hidden="1">
      <c r="A23" s="2" t="s">
        <v>30</v>
      </c>
      <c r="B23" s="2" t="s">
        <v>31</v>
      </c>
      <c r="C23" s="2" t="s">
        <v>32</v>
      </c>
      <c r="D23" s="2" t="s">
        <v>33</v>
      </c>
      <c r="E23" s="2" t="s">
        <v>68</v>
      </c>
      <c r="F23" s="2" t="s">
        <v>33</v>
      </c>
      <c r="G23" s="2" t="s">
        <v>35</v>
      </c>
      <c r="H23" s="2" t="s">
        <v>36</v>
      </c>
      <c r="I23" s="2" t="s">
        <v>37</v>
      </c>
      <c r="J23" s="3">
        <v>45742.430653819443</v>
      </c>
      <c r="K23" s="2">
        <v>10.5419776119</v>
      </c>
      <c r="L23" s="2" t="s">
        <v>101</v>
      </c>
      <c r="M23" s="2" t="s">
        <v>39</v>
      </c>
      <c r="N23" s="2" t="s">
        <v>39</v>
      </c>
      <c r="O23" s="2">
        <v>0</v>
      </c>
      <c r="P23" s="2">
        <v>10720</v>
      </c>
      <c r="Q23" s="2">
        <v>113010</v>
      </c>
      <c r="R23" s="2" t="s">
        <v>40</v>
      </c>
      <c r="S23" s="2" t="s">
        <v>41</v>
      </c>
      <c r="T23" s="2" t="s">
        <v>33</v>
      </c>
      <c r="U23" s="2" t="s">
        <v>33</v>
      </c>
      <c r="V23" s="2" t="s">
        <v>33</v>
      </c>
      <c r="W23" s="2" t="s">
        <v>52</v>
      </c>
      <c r="X23" s="2" t="s">
        <v>102</v>
      </c>
      <c r="Y23" s="2" t="str">
        <f>HYPERLINK("http://srvdis221.distracom.com.co/consulta5/consultalite.aspx?nombrearchivador=Contabilidad&amp;valoresbusqueda=TIPO_DOCUMENTO=RM%20AND%20CONSECUTIVO=REDW124568","REDW124568")</f>
        <v>REDW124568</v>
      </c>
      <c r="Z23" s="2" t="s">
        <v>44</v>
      </c>
      <c r="AA23" s="2" t="s">
        <v>45</v>
      </c>
      <c r="AB23" s="2" t="s">
        <v>46</v>
      </c>
      <c r="AC23" s="2" t="s">
        <v>47</v>
      </c>
    </row>
    <row r="24" spans="1:29" ht="60" hidden="1">
      <c r="A24" s="2" t="s">
        <v>30</v>
      </c>
      <c r="B24" s="2" t="s">
        <v>63</v>
      </c>
      <c r="C24" s="2" t="s">
        <v>64</v>
      </c>
      <c r="D24" s="2" t="s">
        <v>33</v>
      </c>
      <c r="E24" s="2" t="s">
        <v>103</v>
      </c>
      <c r="F24" s="2" t="s">
        <v>33</v>
      </c>
      <c r="G24" s="2" t="s">
        <v>35</v>
      </c>
      <c r="H24" s="2" t="s">
        <v>36</v>
      </c>
      <c r="I24" s="2" t="s">
        <v>37</v>
      </c>
      <c r="J24" s="3">
        <v>45744.372697569444</v>
      </c>
      <c r="K24" s="2">
        <v>15</v>
      </c>
      <c r="L24" s="2" t="s">
        <v>104</v>
      </c>
      <c r="M24" s="2" t="s">
        <v>39</v>
      </c>
      <c r="N24" s="2" t="s">
        <v>39</v>
      </c>
      <c r="O24" s="2">
        <v>0</v>
      </c>
      <c r="P24" s="2">
        <v>10720</v>
      </c>
      <c r="Q24" s="2">
        <v>160800</v>
      </c>
      <c r="R24" s="2" t="s">
        <v>40</v>
      </c>
      <c r="S24" s="2" t="s">
        <v>41</v>
      </c>
      <c r="T24" s="2" t="s">
        <v>33</v>
      </c>
      <c r="U24" s="2" t="s">
        <v>33</v>
      </c>
      <c r="V24" s="2" t="s">
        <v>33</v>
      </c>
      <c r="W24" s="2" t="s">
        <v>52</v>
      </c>
      <c r="X24" s="2" t="s">
        <v>105</v>
      </c>
      <c r="Y24" s="2" t="str">
        <f>HYPERLINK("http://srvdis221.distracom.com.co/consulta5/consultalite.aspx?nombrearchivador=Contabilidad&amp;valoresbusqueda=TIPO_DOCUMENTO=RM%20AND%20CONSECUTIVO=REDW124681","REDW124681")</f>
        <v>REDW124681</v>
      </c>
      <c r="Z24" s="2" t="s">
        <v>44</v>
      </c>
      <c r="AA24" s="2" t="s">
        <v>45</v>
      </c>
      <c r="AB24" s="2" t="s">
        <v>46</v>
      </c>
      <c r="AC24" s="2" t="s">
        <v>47</v>
      </c>
    </row>
    <row r="25" spans="1:29" ht="60" hidden="1">
      <c r="A25" s="2" t="s">
        <v>30</v>
      </c>
      <c r="B25" s="2" t="s">
        <v>31</v>
      </c>
      <c r="C25" s="2" t="s">
        <v>32</v>
      </c>
      <c r="D25" s="2" t="s">
        <v>33</v>
      </c>
      <c r="E25" s="2" t="s">
        <v>68</v>
      </c>
      <c r="F25" s="2" t="s">
        <v>33</v>
      </c>
      <c r="G25" s="2" t="s">
        <v>35</v>
      </c>
      <c r="H25" s="2" t="s">
        <v>36</v>
      </c>
      <c r="I25" s="2" t="s">
        <v>37</v>
      </c>
      <c r="J25" s="3">
        <v>45747.407580787039</v>
      </c>
      <c r="K25" s="2">
        <v>12</v>
      </c>
      <c r="L25" s="2" t="s">
        <v>106</v>
      </c>
      <c r="M25" s="2" t="s">
        <v>39</v>
      </c>
      <c r="N25" s="2" t="s">
        <v>39</v>
      </c>
      <c r="O25" s="2">
        <v>0</v>
      </c>
      <c r="P25" s="2">
        <v>10720</v>
      </c>
      <c r="Q25" s="2">
        <v>128640</v>
      </c>
      <c r="R25" s="2" t="s">
        <v>40</v>
      </c>
      <c r="S25" s="2" t="s">
        <v>41</v>
      </c>
      <c r="T25" s="2" t="s">
        <v>33</v>
      </c>
      <c r="U25" s="2" t="s">
        <v>33</v>
      </c>
      <c r="V25" s="2" t="s">
        <v>33</v>
      </c>
      <c r="W25" s="2" t="s">
        <v>70</v>
      </c>
      <c r="X25" s="2" t="s">
        <v>107</v>
      </c>
      <c r="Y25" s="2" t="str">
        <f>HYPERLINK("http://srvdis221.distracom.com.co/consulta5/consultalite.aspx?nombrearchivador=Contabilidad&amp;valoresbusqueda=TIPO_DOCUMENTO=RM%20AND%20CONSECUTIVO=REDW124782","REDW124782")</f>
        <v>REDW124782</v>
      </c>
      <c r="Z25" s="2" t="s">
        <v>44</v>
      </c>
      <c r="AA25" s="2" t="s">
        <v>45</v>
      </c>
      <c r="AB25" s="2" t="s">
        <v>46</v>
      </c>
      <c r="AC25" s="2" t="s">
        <v>47</v>
      </c>
    </row>
    <row r="26" spans="1:29" ht="60" hidden="1">
      <c r="A26" s="2" t="s">
        <v>30</v>
      </c>
      <c r="B26" s="2" t="s">
        <v>108</v>
      </c>
      <c r="C26" s="2" t="s">
        <v>109</v>
      </c>
      <c r="D26" s="2" t="s">
        <v>33</v>
      </c>
      <c r="E26" s="2" t="s">
        <v>110</v>
      </c>
      <c r="F26" s="2" t="s">
        <v>33</v>
      </c>
      <c r="G26" s="2" t="s">
        <v>35</v>
      </c>
      <c r="H26" s="2" t="s">
        <v>36</v>
      </c>
      <c r="I26" s="2" t="s">
        <v>37</v>
      </c>
      <c r="J26" s="3">
        <v>45747.457565625002</v>
      </c>
      <c r="K26" s="2">
        <v>5</v>
      </c>
      <c r="L26" s="2" t="s">
        <v>111</v>
      </c>
      <c r="M26" s="2" t="s">
        <v>39</v>
      </c>
      <c r="N26" s="2" t="s">
        <v>39</v>
      </c>
      <c r="O26" s="2">
        <v>0</v>
      </c>
      <c r="P26" s="2">
        <v>16060</v>
      </c>
      <c r="Q26" s="2">
        <v>80300</v>
      </c>
      <c r="R26" s="2" t="s">
        <v>112</v>
      </c>
      <c r="S26" s="2" t="s">
        <v>41</v>
      </c>
      <c r="T26" s="2" t="s">
        <v>33</v>
      </c>
      <c r="U26" s="2" t="s">
        <v>33</v>
      </c>
      <c r="V26" s="2" t="s">
        <v>33</v>
      </c>
      <c r="W26" s="2" t="s">
        <v>70</v>
      </c>
      <c r="X26" s="2" t="s">
        <v>113</v>
      </c>
      <c r="Y26" s="2" t="str">
        <f>HYPERLINK("http://srvdis221.distracom.com.co/consulta5/consultalite.aspx?nombrearchivador=Contabilidad&amp;valoresbusqueda=TIPO_DOCUMENTO=RM%20AND%20CONSECUTIVO=REDW124791","REDW124791")</f>
        <v>REDW124791</v>
      </c>
      <c r="Z26" s="2" t="s">
        <v>44</v>
      </c>
      <c r="AA26" s="2" t="s">
        <v>45</v>
      </c>
      <c r="AB26" s="2" t="s">
        <v>46</v>
      </c>
      <c r="AC26" s="2" t="s">
        <v>47</v>
      </c>
    </row>
    <row r="27" spans="1:29" ht="60" hidden="1">
      <c r="A27" s="2" t="s">
        <v>30</v>
      </c>
      <c r="B27" s="2" t="s">
        <v>31</v>
      </c>
      <c r="C27" s="2" t="s">
        <v>32</v>
      </c>
      <c r="D27" s="2" t="s">
        <v>33</v>
      </c>
      <c r="E27" s="2" t="s">
        <v>68</v>
      </c>
      <c r="F27" s="2" t="s">
        <v>33</v>
      </c>
      <c r="G27" s="2" t="s">
        <v>35</v>
      </c>
      <c r="H27" s="2" t="s">
        <v>36</v>
      </c>
      <c r="I27" s="2" t="s">
        <v>37</v>
      </c>
      <c r="J27" s="3">
        <v>45750.531034375002</v>
      </c>
      <c r="K27" s="2">
        <v>12</v>
      </c>
      <c r="L27" s="2" t="s">
        <v>114</v>
      </c>
      <c r="M27" s="2" t="s">
        <v>39</v>
      </c>
      <c r="N27" s="2" t="s">
        <v>39</v>
      </c>
      <c r="O27" s="2">
        <v>0</v>
      </c>
      <c r="P27" s="2">
        <v>10720</v>
      </c>
      <c r="Q27" s="2">
        <v>128640</v>
      </c>
      <c r="R27" s="2" t="s">
        <v>40</v>
      </c>
      <c r="S27" s="2" t="s">
        <v>41</v>
      </c>
      <c r="T27" s="2" t="s">
        <v>33</v>
      </c>
      <c r="U27" s="2" t="s">
        <v>33</v>
      </c>
      <c r="V27" s="2" t="s">
        <v>33</v>
      </c>
      <c r="W27" s="2" t="s">
        <v>115</v>
      </c>
      <c r="X27" s="2" t="s">
        <v>116</v>
      </c>
      <c r="Y27" s="2" t="str">
        <f>HYPERLINK("http://srvdis221.distracom.com.co/consulta5/consultalite.aspx?nombrearchivador=Contabilidad&amp;valoresbusqueda=TIPO_DOCUMENTO=RM%20AND%20CONSECUTIVO=REDW124962","REDW124962")</f>
        <v>REDW124962</v>
      </c>
      <c r="Z27" s="2" t="s">
        <v>44</v>
      </c>
      <c r="AA27" s="2" t="s">
        <v>45</v>
      </c>
      <c r="AB27" s="2" t="s">
        <v>46</v>
      </c>
      <c r="AC27" s="2" t="s">
        <v>47</v>
      </c>
    </row>
    <row r="28" spans="1:29" ht="60" hidden="1">
      <c r="A28" s="2" t="s">
        <v>30</v>
      </c>
      <c r="B28" s="2" t="s">
        <v>117</v>
      </c>
      <c r="C28" s="2" t="s">
        <v>118</v>
      </c>
      <c r="D28" s="2" t="s">
        <v>33</v>
      </c>
      <c r="E28" s="2" t="s">
        <v>119</v>
      </c>
      <c r="F28" s="2" t="s">
        <v>33</v>
      </c>
      <c r="G28" s="2" t="s">
        <v>35</v>
      </c>
      <c r="H28" s="2" t="s">
        <v>36</v>
      </c>
      <c r="I28" s="2" t="s">
        <v>37</v>
      </c>
      <c r="J28" s="3">
        <v>45751.568828703705</v>
      </c>
      <c r="K28" s="2">
        <v>9.4809701492999992</v>
      </c>
      <c r="L28" s="2" t="s">
        <v>120</v>
      </c>
      <c r="M28" s="2" t="s">
        <v>39</v>
      </c>
      <c r="N28" s="2" t="s">
        <v>39</v>
      </c>
      <c r="O28" s="2">
        <v>0</v>
      </c>
      <c r="P28" s="2">
        <v>10720</v>
      </c>
      <c r="Q28" s="2">
        <v>101636</v>
      </c>
      <c r="R28" s="2" t="s">
        <v>40</v>
      </c>
      <c r="S28" s="2" t="s">
        <v>41</v>
      </c>
      <c r="T28" s="2" t="s">
        <v>33</v>
      </c>
      <c r="U28" s="2" t="s">
        <v>33</v>
      </c>
      <c r="V28" s="2" t="s">
        <v>33</v>
      </c>
      <c r="W28" s="2" t="s">
        <v>42</v>
      </c>
      <c r="X28" s="2" t="s">
        <v>121</v>
      </c>
      <c r="Y28" s="2" t="str">
        <f>HYPERLINK("http://srvdis221.distracom.com.co/consulta5/consultalite.aspx?nombrearchivador=Contabilidad&amp;valoresbusqueda=TIPO_DOCUMENTO=RM%20AND%20CONSECUTIVO=REDW125007","REDW125007")</f>
        <v>REDW125007</v>
      </c>
      <c r="Z28" s="2" t="s">
        <v>44</v>
      </c>
      <c r="AA28" s="2" t="s">
        <v>45</v>
      </c>
      <c r="AB28" s="2" t="s">
        <v>46</v>
      </c>
      <c r="AC28" s="2" t="s">
        <v>47</v>
      </c>
    </row>
    <row r="29" spans="1:29" ht="60" hidden="1">
      <c r="A29" s="2" t="s">
        <v>30</v>
      </c>
      <c r="B29" s="2" t="s">
        <v>63</v>
      </c>
      <c r="C29" s="2" t="s">
        <v>64</v>
      </c>
      <c r="D29" s="2" t="s">
        <v>33</v>
      </c>
      <c r="E29" s="2" t="s">
        <v>122</v>
      </c>
      <c r="F29" s="2" t="s">
        <v>33</v>
      </c>
      <c r="G29" s="2" t="s">
        <v>35</v>
      </c>
      <c r="H29" s="2" t="s">
        <v>36</v>
      </c>
      <c r="I29" s="2" t="s">
        <v>37</v>
      </c>
      <c r="J29" s="3">
        <v>45751.676754166663</v>
      </c>
      <c r="K29" s="2">
        <v>10.4900186567</v>
      </c>
      <c r="L29" s="2" t="s">
        <v>123</v>
      </c>
      <c r="M29" s="2" t="s">
        <v>39</v>
      </c>
      <c r="N29" s="2" t="s">
        <v>39</v>
      </c>
      <c r="O29" s="2">
        <v>0</v>
      </c>
      <c r="P29" s="2">
        <v>10720</v>
      </c>
      <c r="Q29" s="2">
        <v>112453</v>
      </c>
      <c r="R29" s="2" t="s">
        <v>40</v>
      </c>
      <c r="S29" s="2" t="s">
        <v>41</v>
      </c>
      <c r="T29" s="2" t="s">
        <v>124</v>
      </c>
      <c r="U29" s="2" t="s">
        <v>33</v>
      </c>
      <c r="V29" s="2" t="s">
        <v>33</v>
      </c>
      <c r="W29" s="2" t="s">
        <v>42</v>
      </c>
      <c r="X29" s="2" t="s">
        <v>125</v>
      </c>
      <c r="Y29" s="2" t="str">
        <f>HYPERLINK("http://srvdis221.distracom.com.co/consulta5/consultalite.aspx?nombrearchivador=Contabilidad&amp;valoresbusqueda=TIPO_DOCUMENTO=RM%20AND%20CONSECUTIVO=REDW125015","REDW125015")</f>
        <v>REDW125015</v>
      </c>
      <c r="Z29" s="2" t="s">
        <v>44</v>
      </c>
      <c r="AA29" s="2" t="s">
        <v>45</v>
      </c>
      <c r="AB29" s="2" t="s">
        <v>46</v>
      </c>
      <c r="AC29" s="2" t="s">
        <v>47</v>
      </c>
    </row>
    <row r="30" spans="1:29" ht="60" hidden="1">
      <c r="A30" s="2" t="s">
        <v>30</v>
      </c>
      <c r="B30" s="2" t="s">
        <v>108</v>
      </c>
      <c r="C30" s="2" t="s">
        <v>109</v>
      </c>
      <c r="D30" s="2" t="s">
        <v>33</v>
      </c>
      <c r="E30" s="2" t="s">
        <v>110</v>
      </c>
      <c r="F30" s="2" t="s">
        <v>33</v>
      </c>
      <c r="G30" s="2" t="s">
        <v>35</v>
      </c>
      <c r="H30" s="2" t="s">
        <v>36</v>
      </c>
      <c r="I30" s="2" t="s">
        <v>37</v>
      </c>
      <c r="J30" s="3">
        <v>45756.409302662039</v>
      </c>
      <c r="K30" s="2">
        <v>5</v>
      </c>
      <c r="L30" s="2" t="s">
        <v>126</v>
      </c>
      <c r="M30" s="2" t="s">
        <v>39</v>
      </c>
      <c r="N30" s="2" t="s">
        <v>39</v>
      </c>
      <c r="O30" s="2">
        <v>0</v>
      </c>
      <c r="P30" s="2">
        <v>16060</v>
      </c>
      <c r="Q30" s="2">
        <v>80300</v>
      </c>
      <c r="R30" s="2" t="s">
        <v>112</v>
      </c>
      <c r="S30" s="2" t="s">
        <v>41</v>
      </c>
      <c r="T30" s="2" t="s">
        <v>33</v>
      </c>
      <c r="U30" s="2" t="s">
        <v>33</v>
      </c>
      <c r="V30" s="2" t="s">
        <v>33</v>
      </c>
      <c r="W30" s="2" t="s">
        <v>115</v>
      </c>
      <c r="X30" s="2" t="s">
        <v>127</v>
      </c>
      <c r="Y30" s="2" t="str">
        <f>HYPERLINK("http://srvdis221.distracom.com.co/consulta5/consultalite.aspx?nombrearchivador=Contabilidad&amp;valoresbusqueda=TIPO_DOCUMENTO=RM%20AND%20CONSECUTIVO=REDW125224","REDW125224")</f>
        <v>REDW125224</v>
      </c>
      <c r="Z30" s="2" t="s">
        <v>44</v>
      </c>
      <c r="AA30" s="2" t="s">
        <v>45</v>
      </c>
      <c r="AB30" s="2" t="s">
        <v>46</v>
      </c>
      <c r="AC30" s="2" t="s">
        <v>47</v>
      </c>
    </row>
    <row r="31" spans="1:29" ht="60" hidden="1">
      <c r="A31" s="2" t="s">
        <v>30</v>
      </c>
      <c r="B31" s="2" t="s">
        <v>117</v>
      </c>
      <c r="C31" s="2" t="s">
        <v>118</v>
      </c>
      <c r="D31" s="2" t="s">
        <v>33</v>
      </c>
      <c r="E31" s="2" t="s">
        <v>119</v>
      </c>
      <c r="F31" s="2" t="s">
        <v>33</v>
      </c>
      <c r="G31" s="2" t="s">
        <v>35</v>
      </c>
      <c r="H31" s="2" t="s">
        <v>36</v>
      </c>
      <c r="I31" s="2" t="s">
        <v>37</v>
      </c>
      <c r="J31" s="3">
        <v>45756.582651041666</v>
      </c>
      <c r="K31" s="2">
        <v>6.0650186567000004</v>
      </c>
      <c r="L31" s="2" t="s">
        <v>128</v>
      </c>
      <c r="M31" s="2" t="s">
        <v>39</v>
      </c>
      <c r="N31" s="2" t="s">
        <v>39</v>
      </c>
      <c r="O31" s="2">
        <v>0</v>
      </c>
      <c r="P31" s="2">
        <v>10720</v>
      </c>
      <c r="Q31" s="2">
        <v>65017</v>
      </c>
      <c r="R31" s="2" t="s">
        <v>40</v>
      </c>
      <c r="S31" s="2" t="s">
        <v>41</v>
      </c>
      <c r="T31" s="2" t="s">
        <v>33</v>
      </c>
      <c r="U31" s="2" t="s">
        <v>33</v>
      </c>
      <c r="V31" s="2" t="s">
        <v>33</v>
      </c>
      <c r="W31" s="2" t="s">
        <v>115</v>
      </c>
      <c r="X31" s="2" t="s">
        <v>129</v>
      </c>
      <c r="Y31" s="2" t="str">
        <f>HYPERLINK("http://srvdis221.distracom.com.co/consulta5/consultalite.aspx?nombrearchivador=Contabilidad&amp;valoresbusqueda=TIPO_DOCUMENTO=RM%20AND%20CONSECUTIVO=REDW125237","REDW125237")</f>
        <v>REDW125237</v>
      </c>
      <c r="Z31" s="2" t="s">
        <v>44</v>
      </c>
      <c r="AA31" s="2" t="s">
        <v>45</v>
      </c>
      <c r="AB31" s="2" t="s">
        <v>46</v>
      </c>
      <c r="AC31" s="2" t="s">
        <v>47</v>
      </c>
    </row>
    <row r="32" spans="1:29" ht="60" hidden="1">
      <c r="A32" s="2" t="s">
        <v>30</v>
      </c>
      <c r="B32" s="2" t="s">
        <v>117</v>
      </c>
      <c r="C32" s="2" t="s">
        <v>118</v>
      </c>
      <c r="D32" s="2" t="s">
        <v>33</v>
      </c>
      <c r="E32" s="2" t="s">
        <v>119</v>
      </c>
      <c r="F32" s="2" t="s">
        <v>33</v>
      </c>
      <c r="G32" s="2" t="s">
        <v>35</v>
      </c>
      <c r="H32" s="2" t="s">
        <v>36</v>
      </c>
      <c r="I32" s="2" t="s">
        <v>37</v>
      </c>
      <c r="J32" s="3">
        <v>45758.457960648149</v>
      </c>
      <c r="K32" s="2">
        <v>2</v>
      </c>
      <c r="L32" s="2" t="s">
        <v>130</v>
      </c>
      <c r="M32" s="2" t="s">
        <v>39</v>
      </c>
      <c r="N32" s="2" t="s">
        <v>39</v>
      </c>
      <c r="O32" s="2">
        <v>0</v>
      </c>
      <c r="P32" s="2">
        <v>10720</v>
      </c>
      <c r="Q32" s="2">
        <v>21440</v>
      </c>
      <c r="R32" s="2" t="s">
        <v>40</v>
      </c>
      <c r="S32" s="2" t="s">
        <v>41</v>
      </c>
      <c r="T32" s="2" t="s">
        <v>33</v>
      </c>
      <c r="U32" s="2" t="s">
        <v>33</v>
      </c>
      <c r="V32" s="2" t="s">
        <v>33</v>
      </c>
      <c r="W32" s="2" t="s">
        <v>115</v>
      </c>
      <c r="X32" s="2" t="s">
        <v>131</v>
      </c>
      <c r="Y32" s="2" t="str">
        <f>HYPERLINK("http://srvdis221.distracom.com.co/consulta5/consultalite.aspx?nombrearchivador=Contabilidad&amp;valoresbusqueda=TIPO_DOCUMENTO=RM%20AND%20CONSECUTIVO=REDW125350","REDW125350")</f>
        <v>REDW125350</v>
      </c>
      <c r="Z32" s="2" t="s">
        <v>44</v>
      </c>
      <c r="AA32" s="2" t="s">
        <v>45</v>
      </c>
      <c r="AB32" s="2" t="s">
        <v>46</v>
      </c>
      <c r="AC32" s="2" t="s">
        <v>47</v>
      </c>
    </row>
    <row r="33" spans="1:33" ht="60" hidden="1">
      <c r="A33" s="2" t="s">
        <v>30</v>
      </c>
      <c r="B33" s="2" t="s">
        <v>117</v>
      </c>
      <c r="C33" s="2" t="s">
        <v>118</v>
      </c>
      <c r="D33" s="2" t="s">
        <v>33</v>
      </c>
      <c r="E33" s="2" t="s">
        <v>119</v>
      </c>
      <c r="F33" s="2" t="s">
        <v>33</v>
      </c>
      <c r="G33" s="2" t="s">
        <v>35</v>
      </c>
      <c r="H33" s="2" t="s">
        <v>36</v>
      </c>
      <c r="I33" s="2" t="s">
        <v>37</v>
      </c>
      <c r="J33" s="3">
        <v>45768.50554583333</v>
      </c>
      <c r="K33" s="2">
        <v>4</v>
      </c>
      <c r="L33" s="2" t="s">
        <v>132</v>
      </c>
      <c r="M33" s="2" t="s">
        <v>39</v>
      </c>
      <c r="N33" s="2" t="s">
        <v>39</v>
      </c>
      <c r="O33" s="2">
        <v>0</v>
      </c>
      <c r="P33" s="2">
        <v>10720</v>
      </c>
      <c r="Q33" s="2">
        <v>42880</v>
      </c>
      <c r="R33" s="2" t="s">
        <v>40</v>
      </c>
      <c r="S33" s="2" t="s">
        <v>41</v>
      </c>
      <c r="T33" s="2" t="s">
        <v>86</v>
      </c>
      <c r="U33" s="2" t="s">
        <v>33</v>
      </c>
      <c r="V33" s="2" t="s">
        <v>33</v>
      </c>
      <c r="W33" s="2" t="s">
        <v>42</v>
      </c>
      <c r="X33" s="2" t="s">
        <v>133</v>
      </c>
      <c r="Y33" s="2" t="str">
        <f>HYPERLINK("http://srvdis221.distracom.com.co/consulta5/consultalite.aspx?nombrearchivador=Contabilidad&amp;valoresbusqueda=TIPO_DOCUMENTO=RM%20AND%20CONSECUTIVO=REDW125729","REDW125729")</f>
        <v>REDW125729</v>
      </c>
      <c r="Z33" s="2" t="s">
        <v>44</v>
      </c>
      <c r="AA33" s="2" t="s">
        <v>45</v>
      </c>
      <c r="AB33" s="2" t="s">
        <v>46</v>
      </c>
      <c r="AC33" s="2" t="s">
        <v>47</v>
      </c>
    </row>
    <row r="34" spans="1:33" ht="60" hidden="1">
      <c r="A34" s="2" t="s">
        <v>30</v>
      </c>
      <c r="B34" s="2" t="s">
        <v>31</v>
      </c>
      <c r="C34" s="2" t="s">
        <v>32</v>
      </c>
      <c r="D34" s="2" t="s">
        <v>33</v>
      </c>
      <c r="E34" s="2" t="s">
        <v>68</v>
      </c>
      <c r="F34" s="2" t="s">
        <v>33</v>
      </c>
      <c r="G34" s="2" t="s">
        <v>35</v>
      </c>
      <c r="H34" s="2" t="s">
        <v>36</v>
      </c>
      <c r="I34" s="2" t="s">
        <v>37</v>
      </c>
      <c r="J34" s="3">
        <v>45770.496984375</v>
      </c>
      <c r="K34" s="2">
        <v>10.001026119400001</v>
      </c>
      <c r="L34" s="2" t="s">
        <v>134</v>
      </c>
      <c r="M34" s="2" t="s">
        <v>39</v>
      </c>
      <c r="N34" s="2" t="s">
        <v>39</v>
      </c>
      <c r="O34" s="2">
        <v>0</v>
      </c>
      <c r="P34" s="2">
        <v>10720</v>
      </c>
      <c r="Q34" s="2">
        <v>107211</v>
      </c>
      <c r="R34" s="2" t="s">
        <v>40</v>
      </c>
      <c r="S34" s="2" t="s">
        <v>41</v>
      </c>
      <c r="T34" s="2" t="s">
        <v>79</v>
      </c>
      <c r="U34" s="2" t="s">
        <v>33</v>
      </c>
      <c r="V34" s="2" t="s">
        <v>33</v>
      </c>
      <c r="W34" s="2" t="s">
        <v>42</v>
      </c>
      <c r="X34" s="2" t="s">
        <v>135</v>
      </c>
      <c r="Y34" s="2" t="str">
        <f>HYPERLINK("http://srvdis221.distracom.com.co/consulta5/consultalite.aspx?nombrearchivador=Contabilidad&amp;valoresbusqueda=TIPO_DOCUMENTO=RM%20AND%20CONSECUTIVO=REDW125846","REDW125846")</f>
        <v>REDW125846</v>
      </c>
      <c r="Z34" s="2" t="s">
        <v>44</v>
      </c>
      <c r="AA34" s="2" t="s">
        <v>45</v>
      </c>
      <c r="AB34" s="2" t="s">
        <v>46</v>
      </c>
      <c r="AC34" s="2" t="s">
        <v>47</v>
      </c>
    </row>
    <row r="35" spans="1:33" ht="60" hidden="1">
      <c r="A35" s="2" t="s">
        <v>30</v>
      </c>
      <c r="B35" s="2" t="s">
        <v>63</v>
      </c>
      <c r="C35" s="2" t="s">
        <v>64</v>
      </c>
      <c r="D35" s="2" t="s">
        <v>33</v>
      </c>
      <c r="E35" s="2" t="s">
        <v>122</v>
      </c>
      <c r="F35" s="2" t="s">
        <v>33</v>
      </c>
      <c r="G35" s="2" t="s">
        <v>35</v>
      </c>
      <c r="H35" s="2" t="s">
        <v>36</v>
      </c>
      <c r="I35" s="2" t="s">
        <v>37</v>
      </c>
      <c r="J35" s="3">
        <v>45770.71240034722</v>
      </c>
      <c r="K35" s="2">
        <v>9.3300373134000001</v>
      </c>
      <c r="L35" s="2" t="s">
        <v>136</v>
      </c>
      <c r="M35" s="2" t="s">
        <v>39</v>
      </c>
      <c r="N35" s="2" t="s">
        <v>39</v>
      </c>
      <c r="O35" s="2">
        <v>0</v>
      </c>
      <c r="P35" s="2">
        <v>10720</v>
      </c>
      <c r="Q35" s="2">
        <v>100018</v>
      </c>
      <c r="R35" s="2" t="s">
        <v>40</v>
      </c>
      <c r="S35" s="2" t="s">
        <v>41</v>
      </c>
      <c r="T35" s="2" t="s">
        <v>33</v>
      </c>
      <c r="U35" s="2" t="s">
        <v>33</v>
      </c>
      <c r="V35" s="2" t="s">
        <v>33</v>
      </c>
      <c r="W35" s="2" t="s">
        <v>42</v>
      </c>
      <c r="X35" s="2" t="s">
        <v>137</v>
      </c>
      <c r="Y35" s="2" t="str">
        <f>HYPERLINK("http://srvdis221.distracom.com.co/consulta5/consultalite.aspx?nombrearchivador=Contabilidad&amp;valoresbusqueda=TIPO_DOCUMENTO=RM%20AND%20CONSECUTIVO=REDW125866","REDW125866")</f>
        <v>REDW125866</v>
      </c>
      <c r="Z35" s="2" t="s">
        <v>44</v>
      </c>
      <c r="AA35" s="2" t="s">
        <v>45</v>
      </c>
      <c r="AB35" s="2" t="s">
        <v>46</v>
      </c>
      <c r="AC35" s="2" t="s">
        <v>47</v>
      </c>
    </row>
    <row r="36" spans="1:33" ht="60" hidden="1">
      <c r="A36" s="2" t="s">
        <v>30</v>
      </c>
      <c r="B36" s="2" t="s">
        <v>117</v>
      </c>
      <c r="C36" s="2" t="s">
        <v>118</v>
      </c>
      <c r="D36" s="2" t="s">
        <v>33</v>
      </c>
      <c r="E36" s="2" t="s">
        <v>119</v>
      </c>
      <c r="F36" s="2" t="s">
        <v>33</v>
      </c>
      <c r="G36" s="2" t="s">
        <v>35</v>
      </c>
      <c r="H36" s="2" t="s">
        <v>36</v>
      </c>
      <c r="I36" s="2" t="s">
        <v>37</v>
      </c>
      <c r="J36" s="3">
        <v>45771.387043634262</v>
      </c>
      <c r="K36" s="2">
        <v>6</v>
      </c>
      <c r="L36" s="2" t="s">
        <v>138</v>
      </c>
      <c r="M36" s="2" t="s">
        <v>39</v>
      </c>
      <c r="N36" s="2" t="s">
        <v>39</v>
      </c>
      <c r="O36" s="2">
        <v>0</v>
      </c>
      <c r="P36" s="2">
        <v>10720</v>
      </c>
      <c r="Q36" s="2">
        <v>64320</v>
      </c>
      <c r="R36" s="2" t="s">
        <v>40</v>
      </c>
      <c r="S36" s="2" t="s">
        <v>41</v>
      </c>
      <c r="T36" s="2" t="s">
        <v>86</v>
      </c>
      <c r="U36" s="2" t="s">
        <v>33</v>
      </c>
      <c r="V36" s="2" t="s">
        <v>33</v>
      </c>
      <c r="W36" s="2" t="s">
        <v>42</v>
      </c>
      <c r="X36" s="2" t="s">
        <v>139</v>
      </c>
      <c r="Y36" s="2" t="str">
        <f>HYPERLINK("http://srvdis221.distracom.com.co/consulta5/consultalite.aspx?nombrearchivador=Contabilidad&amp;valoresbusqueda=TIPO_DOCUMENTO=RM%20AND%20CONSECUTIVO=REDW125895","REDW125895")</f>
        <v>REDW125895</v>
      </c>
      <c r="Z36" s="2" t="s">
        <v>44</v>
      </c>
      <c r="AA36" s="2" t="s">
        <v>45</v>
      </c>
      <c r="AB36" s="2" t="s">
        <v>46</v>
      </c>
      <c r="AC36" s="2" t="s">
        <v>47</v>
      </c>
    </row>
    <row r="37" spans="1:33" ht="60" hidden="1">
      <c r="A37" s="2" t="s">
        <v>30</v>
      </c>
      <c r="B37" s="2" t="s">
        <v>117</v>
      </c>
      <c r="C37" s="2" t="s">
        <v>118</v>
      </c>
      <c r="D37" s="2" t="s">
        <v>33</v>
      </c>
      <c r="E37" s="2" t="s">
        <v>140</v>
      </c>
      <c r="F37" s="2" t="s">
        <v>33</v>
      </c>
      <c r="G37" s="2" t="s">
        <v>35</v>
      </c>
      <c r="H37" s="2" t="s">
        <v>36</v>
      </c>
      <c r="I37" s="2" t="s">
        <v>37</v>
      </c>
      <c r="J37" s="3">
        <v>45772.381398148151</v>
      </c>
      <c r="K37" s="2">
        <v>6</v>
      </c>
      <c r="L37" s="2" t="s">
        <v>141</v>
      </c>
      <c r="M37" s="2" t="s">
        <v>39</v>
      </c>
      <c r="N37" s="2" t="s">
        <v>39</v>
      </c>
      <c r="O37" s="2">
        <v>0</v>
      </c>
      <c r="P37" s="2">
        <v>10720</v>
      </c>
      <c r="Q37" s="2">
        <v>64320</v>
      </c>
      <c r="R37" s="2" t="s">
        <v>40</v>
      </c>
      <c r="S37" s="2" t="s">
        <v>41</v>
      </c>
      <c r="T37" s="2" t="s">
        <v>33</v>
      </c>
      <c r="U37" s="2" t="s">
        <v>33</v>
      </c>
      <c r="V37" s="2" t="s">
        <v>33</v>
      </c>
      <c r="W37" s="2" t="s">
        <v>52</v>
      </c>
      <c r="X37" s="2" t="s">
        <v>142</v>
      </c>
      <c r="Y37" s="2" t="str">
        <f>HYPERLINK("http://srvdis221.distracom.com.co/consulta5/consultalite.aspx?nombrearchivador=Contabilidad&amp;valoresbusqueda=TIPO_DOCUMENTO=RM%20AND%20CONSECUTIVO=REDW125971","REDW125971")</f>
        <v>REDW125971</v>
      </c>
      <c r="Z37" s="2" t="s">
        <v>44</v>
      </c>
      <c r="AA37" s="2" t="s">
        <v>45</v>
      </c>
      <c r="AB37" s="2" t="s">
        <v>46</v>
      </c>
      <c r="AC37" s="2" t="s">
        <v>47</v>
      </c>
    </row>
    <row r="38" spans="1:33" ht="60" hidden="1">
      <c r="A38" s="2" t="s">
        <v>30</v>
      </c>
      <c r="B38" s="2" t="s">
        <v>143</v>
      </c>
      <c r="C38" s="2" t="s">
        <v>55</v>
      </c>
      <c r="D38" s="2" t="s">
        <v>33</v>
      </c>
      <c r="E38" s="2" t="s">
        <v>33</v>
      </c>
      <c r="F38" s="2" t="s">
        <v>33</v>
      </c>
      <c r="G38" s="2" t="s">
        <v>35</v>
      </c>
      <c r="H38" s="2" t="s">
        <v>36</v>
      </c>
      <c r="I38" s="2" t="s">
        <v>37</v>
      </c>
      <c r="J38" s="3">
        <v>45772.675395486112</v>
      </c>
      <c r="K38" s="2">
        <v>7.7389788293999997</v>
      </c>
      <c r="L38" s="2" t="s">
        <v>144</v>
      </c>
      <c r="M38" s="2" t="s">
        <v>39</v>
      </c>
      <c r="N38" s="2" t="s">
        <v>39</v>
      </c>
      <c r="O38" s="2">
        <v>0</v>
      </c>
      <c r="P38" s="2">
        <v>16060</v>
      </c>
      <c r="Q38" s="2">
        <v>124288</v>
      </c>
      <c r="R38" s="2" t="s">
        <v>112</v>
      </c>
      <c r="S38" s="2" t="s">
        <v>41</v>
      </c>
      <c r="T38" s="2" t="s">
        <v>33</v>
      </c>
      <c r="U38" s="2" t="s">
        <v>33</v>
      </c>
      <c r="V38" s="2" t="s">
        <v>33</v>
      </c>
      <c r="W38" s="2" t="s">
        <v>70</v>
      </c>
      <c r="X38" s="2" t="s">
        <v>145</v>
      </c>
      <c r="Y38" s="2" t="str">
        <f>HYPERLINK("http://srvdis221.distracom.com.co/consulta5/consultalite.aspx?nombrearchivador=Contabilidad&amp;valoresbusqueda=TIPO_DOCUMENTO=RM%20AND%20CONSECUTIVO=REDW126007","REDW126007")</f>
        <v>REDW126007</v>
      </c>
      <c r="Z38" s="2" t="s">
        <v>44</v>
      </c>
      <c r="AA38" s="2" t="s">
        <v>45</v>
      </c>
      <c r="AB38" s="2" t="s">
        <v>46</v>
      </c>
      <c r="AC38" s="2" t="s">
        <v>47</v>
      </c>
    </row>
    <row r="39" spans="1:33" ht="60" hidden="1">
      <c r="A39" s="2" t="s">
        <v>30</v>
      </c>
      <c r="B39" s="2" t="s">
        <v>63</v>
      </c>
      <c r="C39" s="2" t="s">
        <v>64</v>
      </c>
      <c r="D39" s="2" t="s">
        <v>33</v>
      </c>
      <c r="E39" s="2" t="s">
        <v>122</v>
      </c>
      <c r="F39" s="2" t="s">
        <v>33</v>
      </c>
      <c r="G39" s="2" t="s">
        <v>35</v>
      </c>
      <c r="H39" s="2" t="s">
        <v>36</v>
      </c>
      <c r="I39" s="2" t="s">
        <v>37</v>
      </c>
      <c r="J39" s="3">
        <v>45773.556672916668</v>
      </c>
      <c r="K39" s="2">
        <v>5.6699626865999999</v>
      </c>
      <c r="L39" s="2" t="s">
        <v>146</v>
      </c>
      <c r="M39" s="2" t="s">
        <v>39</v>
      </c>
      <c r="N39" s="2" t="s">
        <v>39</v>
      </c>
      <c r="O39" s="2">
        <v>0</v>
      </c>
      <c r="P39" s="2">
        <v>10720</v>
      </c>
      <c r="Q39" s="2">
        <v>60782</v>
      </c>
      <c r="R39" s="2" t="s">
        <v>40</v>
      </c>
      <c r="S39" s="2" t="s">
        <v>41</v>
      </c>
      <c r="T39" s="2" t="s">
        <v>33</v>
      </c>
      <c r="U39" s="2" t="s">
        <v>33</v>
      </c>
      <c r="V39" s="2" t="s">
        <v>33</v>
      </c>
      <c r="W39" s="2" t="s">
        <v>42</v>
      </c>
      <c r="X39" s="2" t="s">
        <v>147</v>
      </c>
      <c r="Y39" s="2" t="str">
        <f>HYPERLINK("http://srvdis221.distracom.com.co/consulta5/consultalite.aspx?nombrearchivador=Contabilidad&amp;valoresbusqueda=TIPO_DOCUMENTO=RM%20AND%20CONSECUTIVO=REDW126057","REDW126057")</f>
        <v>REDW126057</v>
      </c>
      <c r="Z39" s="2" t="s">
        <v>44</v>
      </c>
      <c r="AA39" s="2" t="s">
        <v>45</v>
      </c>
      <c r="AB39" s="2" t="s">
        <v>46</v>
      </c>
      <c r="AC39" s="2" t="s">
        <v>47</v>
      </c>
    </row>
    <row r="40" spans="1:33" ht="60" hidden="1">
      <c r="A40" s="2" t="s">
        <v>30</v>
      </c>
      <c r="B40" s="2" t="s">
        <v>31</v>
      </c>
      <c r="C40" s="2" t="s">
        <v>32</v>
      </c>
      <c r="D40" s="2" t="s">
        <v>33</v>
      </c>
      <c r="E40" s="2" t="s">
        <v>68</v>
      </c>
      <c r="F40" s="2" t="s">
        <v>33</v>
      </c>
      <c r="G40" s="2" t="s">
        <v>35</v>
      </c>
      <c r="H40" s="2" t="s">
        <v>36</v>
      </c>
      <c r="I40" s="2" t="s">
        <v>37</v>
      </c>
      <c r="J40" s="3">
        <v>45775.797201157409</v>
      </c>
      <c r="K40" s="2">
        <v>5.5980410448000004</v>
      </c>
      <c r="L40" s="2" t="s">
        <v>148</v>
      </c>
      <c r="M40" s="2" t="s">
        <v>39</v>
      </c>
      <c r="N40" s="2" t="s">
        <v>39</v>
      </c>
      <c r="O40" s="2">
        <v>0</v>
      </c>
      <c r="P40" s="2">
        <v>10720</v>
      </c>
      <c r="Q40" s="2">
        <v>60011</v>
      </c>
      <c r="R40" s="2" t="s">
        <v>40</v>
      </c>
      <c r="S40" s="2" t="s">
        <v>41</v>
      </c>
      <c r="T40" s="2" t="s">
        <v>33</v>
      </c>
      <c r="U40" s="2" t="s">
        <v>33</v>
      </c>
      <c r="V40" s="2" t="s">
        <v>33</v>
      </c>
      <c r="W40" s="2" t="s">
        <v>52</v>
      </c>
      <c r="X40" s="2" t="s">
        <v>149</v>
      </c>
      <c r="Y40" s="2" t="str">
        <f>HYPERLINK("http://srvdis221.distracom.com.co/consulta5/consultalite.aspx?nombrearchivador=Contabilidad&amp;valoresbusqueda=TIPO_DOCUMENTO=RM%20AND%20CONSECUTIVO=REDW126155","REDW126155")</f>
        <v>REDW126155</v>
      </c>
      <c r="Z40" s="2" t="s">
        <v>44</v>
      </c>
      <c r="AA40" s="2" t="s">
        <v>45</v>
      </c>
      <c r="AB40" s="2" t="s">
        <v>46</v>
      </c>
      <c r="AC40" s="2" t="s">
        <v>47</v>
      </c>
    </row>
    <row r="41" spans="1:33" ht="60" hidden="1">
      <c r="A41" s="2" t="s">
        <v>30</v>
      </c>
      <c r="B41" s="2" t="s">
        <v>117</v>
      </c>
      <c r="C41" s="2" t="s">
        <v>118</v>
      </c>
      <c r="D41" s="2" t="s">
        <v>33</v>
      </c>
      <c r="E41" s="2" t="s">
        <v>140</v>
      </c>
      <c r="F41" s="2" t="s">
        <v>33</v>
      </c>
      <c r="G41" s="2" t="s">
        <v>35</v>
      </c>
      <c r="H41" s="2" t="s">
        <v>36</v>
      </c>
      <c r="I41" s="2" t="s">
        <v>37</v>
      </c>
      <c r="J41" s="3">
        <v>45776.458085300925</v>
      </c>
      <c r="K41" s="2">
        <v>8</v>
      </c>
      <c r="L41" s="2" t="s">
        <v>150</v>
      </c>
      <c r="M41" s="2" t="s">
        <v>39</v>
      </c>
      <c r="N41" s="2" t="s">
        <v>39</v>
      </c>
      <c r="O41" s="2">
        <v>0</v>
      </c>
      <c r="P41" s="2">
        <v>10720</v>
      </c>
      <c r="Q41" s="2">
        <v>85760</v>
      </c>
      <c r="R41" s="2" t="s">
        <v>40</v>
      </c>
      <c r="S41" s="2" t="s">
        <v>41</v>
      </c>
      <c r="T41" s="2" t="s">
        <v>33</v>
      </c>
      <c r="U41" s="2" t="s">
        <v>33</v>
      </c>
      <c r="V41" s="2" t="s">
        <v>33</v>
      </c>
      <c r="W41" s="2" t="s">
        <v>52</v>
      </c>
      <c r="X41" s="2" t="s">
        <v>151</v>
      </c>
      <c r="Y41" s="2" t="str">
        <f>HYPERLINK("http://srvdis221.distracom.com.co/consulta5/consultalite.aspx?nombrearchivador=Contabilidad&amp;valoresbusqueda=TIPO_DOCUMENTO=RM%20AND%20CONSECUTIVO=REDW126192","REDW126192")</f>
        <v>REDW126192</v>
      </c>
      <c r="Z41" s="2" t="s">
        <v>44</v>
      </c>
      <c r="AA41" s="2" t="s">
        <v>45</v>
      </c>
      <c r="AB41" s="2" t="s">
        <v>46</v>
      </c>
      <c r="AC41" s="2" t="s">
        <v>47</v>
      </c>
    </row>
    <row r="42" spans="1:33" ht="60" hidden="1">
      <c r="A42" s="2" t="s">
        <v>30</v>
      </c>
      <c r="B42" s="2" t="s">
        <v>108</v>
      </c>
      <c r="C42" s="2" t="s">
        <v>109</v>
      </c>
      <c r="D42" s="2" t="s">
        <v>33</v>
      </c>
      <c r="E42" s="2" t="s">
        <v>110</v>
      </c>
      <c r="F42" s="2" t="s">
        <v>33</v>
      </c>
      <c r="G42" s="2" t="s">
        <v>35</v>
      </c>
      <c r="H42" s="2" t="s">
        <v>36</v>
      </c>
      <c r="I42" s="2" t="s">
        <v>37</v>
      </c>
      <c r="J42" s="3">
        <v>45777.376271643516</v>
      </c>
      <c r="K42" s="2">
        <v>4.6219800746999997</v>
      </c>
      <c r="L42" s="2" t="s">
        <v>152</v>
      </c>
      <c r="M42" s="2" t="s">
        <v>39</v>
      </c>
      <c r="N42" s="2" t="s">
        <v>39</v>
      </c>
      <c r="O42" s="2">
        <v>0</v>
      </c>
      <c r="P42" s="2">
        <v>16060</v>
      </c>
      <c r="Q42" s="2">
        <v>74229</v>
      </c>
      <c r="R42" s="2" t="s">
        <v>112</v>
      </c>
      <c r="S42" s="2" t="s">
        <v>41</v>
      </c>
      <c r="T42" s="2" t="s">
        <v>33</v>
      </c>
      <c r="U42" s="2" t="s">
        <v>33</v>
      </c>
      <c r="V42" s="2" t="s">
        <v>33</v>
      </c>
      <c r="W42" s="2" t="s">
        <v>70</v>
      </c>
      <c r="X42" s="2" t="s">
        <v>153</v>
      </c>
      <c r="Y42" s="2" t="str">
        <f>HYPERLINK("http://srvdis221.distracom.com.co/consulta5/consultalite.aspx?nombrearchivador=Contabilidad&amp;valoresbusqueda=TIPO_DOCUMENTO=RM%20AND%20CONSECUTIVO=REDW126246","REDW126246")</f>
        <v>REDW126246</v>
      </c>
      <c r="Z42" s="2" t="s">
        <v>44</v>
      </c>
      <c r="AA42" s="2" t="s">
        <v>45</v>
      </c>
      <c r="AB42" s="2" t="s">
        <v>46</v>
      </c>
      <c r="AC42" s="2" t="s">
        <v>47</v>
      </c>
    </row>
    <row r="43" spans="1:33" ht="60" hidden="1">
      <c r="A43" s="2" t="s">
        <v>30</v>
      </c>
      <c r="B43" s="2" t="s">
        <v>63</v>
      </c>
      <c r="C43" s="2" t="s">
        <v>64</v>
      </c>
      <c r="D43" s="2" t="s">
        <v>33</v>
      </c>
      <c r="E43" s="2" t="s">
        <v>122</v>
      </c>
      <c r="F43" s="2" t="s">
        <v>33</v>
      </c>
      <c r="G43" s="2" t="s">
        <v>35</v>
      </c>
      <c r="H43" s="2" t="s">
        <v>36</v>
      </c>
      <c r="I43" s="2" t="s">
        <v>37</v>
      </c>
      <c r="J43" s="3">
        <v>45779.542550578706</v>
      </c>
      <c r="K43" s="2">
        <v>9.3300373134000001</v>
      </c>
      <c r="L43" s="2" t="s">
        <v>154</v>
      </c>
      <c r="M43" s="2" t="s">
        <v>39</v>
      </c>
      <c r="N43" s="2" t="s">
        <v>39</v>
      </c>
      <c r="O43" s="2">
        <v>0</v>
      </c>
      <c r="P43" s="2">
        <v>10720</v>
      </c>
      <c r="Q43" s="2">
        <v>100018</v>
      </c>
      <c r="R43" s="2" t="s">
        <v>40</v>
      </c>
      <c r="S43" s="2" t="s">
        <v>41</v>
      </c>
      <c r="T43" s="2" t="s">
        <v>155</v>
      </c>
      <c r="U43" s="2" t="s">
        <v>33</v>
      </c>
      <c r="V43" s="2" t="s">
        <v>33</v>
      </c>
      <c r="W43" s="2" t="s">
        <v>87</v>
      </c>
      <c r="X43" s="2" t="s">
        <v>156</v>
      </c>
      <c r="Y43" s="2" t="str">
        <f>HYPERLINK("http://srvdis221.distracom.com.co/consulta5/consultalite.aspx?nombrearchivador=Contabilidad&amp;valoresbusqueda=TIPO_DOCUMENTO=RM%20AND%20CONSECUTIVO=REDW126316","REDW126316")</f>
        <v>REDW126316</v>
      </c>
      <c r="Z43" s="2" t="s">
        <v>44</v>
      </c>
      <c r="AA43" s="2" t="s">
        <v>45</v>
      </c>
      <c r="AB43" s="2" t="s">
        <v>46</v>
      </c>
      <c r="AC43" s="2" t="s">
        <v>47</v>
      </c>
    </row>
    <row r="44" spans="1:33" ht="60" hidden="1">
      <c r="A44" s="2" t="s">
        <v>30</v>
      </c>
      <c r="B44" s="2" t="s">
        <v>143</v>
      </c>
      <c r="C44" s="2" t="s">
        <v>55</v>
      </c>
      <c r="D44" s="2" t="s">
        <v>33</v>
      </c>
      <c r="E44" s="2" t="s">
        <v>33</v>
      </c>
      <c r="F44" s="2" t="s">
        <v>33</v>
      </c>
      <c r="G44" s="2" t="s">
        <v>35</v>
      </c>
      <c r="H44" s="2" t="s">
        <v>36</v>
      </c>
      <c r="I44" s="2" t="s">
        <v>37</v>
      </c>
      <c r="J44" s="3">
        <v>45779.636971874999</v>
      </c>
      <c r="K44" s="2">
        <v>15.504981320000001</v>
      </c>
      <c r="L44" s="2" t="s">
        <v>157</v>
      </c>
      <c r="M44" s="2" t="s">
        <v>39</v>
      </c>
      <c r="N44" s="2" t="s">
        <v>39</v>
      </c>
      <c r="O44" s="2">
        <v>0</v>
      </c>
      <c r="P44" s="2">
        <v>16060</v>
      </c>
      <c r="Q44" s="2">
        <v>249010</v>
      </c>
      <c r="R44" s="2" t="s">
        <v>112</v>
      </c>
      <c r="S44" s="2" t="s">
        <v>41</v>
      </c>
      <c r="T44" s="2" t="s">
        <v>158</v>
      </c>
      <c r="U44" s="2" t="s">
        <v>33</v>
      </c>
      <c r="V44" s="2" t="s">
        <v>33</v>
      </c>
      <c r="W44" s="2" t="s">
        <v>70</v>
      </c>
      <c r="X44" s="2" t="s">
        <v>159</v>
      </c>
      <c r="Y44" s="2" t="str">
        <f>HYPERLINK("http://srvdis221.distracom.com.co/consulta5/consultalite.aspx?nombrearchivador=Contabilidad&amp;valoresbusqueda=TIPO_DOCUMENTO=RM%20AND%20CONSECUTIVO=REDW126331","REDW126331")</f>
        <v>REDW126331</v>
      </c>
      <c r="Z44" s="2" t="s">
        <v>44</v>
      </c>
      <c r="AA44" s="2" t="s">
        <v>45</v>
      </c>
      <c r="AB44" s="2" t="s">
        <v>46</v>
      </c>
      <c r="AC44" s="2" t="s">
        <v>47</v>
      </c>
    </row>
    <row r="45" spans="1:33" ht="60" hidden="1">
      <c r="A45" s="2" t="s">
        <v>30</v>
      </c>
      <c r="B45" s="2" t="s">
        <v>117</v>
      </c>
      <c r="C45" s="2" t="s">
        <v>118</v>
      </c>
      <c r="D45" s="2" t="s">
        <v>33</v>
      </c>
      <c r="E45" s="2" t="s">
        <v>140</v>
      </c>
      <c r="F45" s="2" t="s">
        <v>33</v>
      </c>
      <c r="G45" s="2" t="s">
        <v>35</v>
      </c>
      <c r="H45" s="2" t="s">
        <v>36</v>
      </c>
      <c r="I45" s="2" t="s">
        <v>37</v>
      </c>
      <c r="J45" s="3">
        <v>45782.297157638888</v>
      </c>
      <c r="K45" s="2">
        <v>8.4989738805999995</v>
      </c>
      <c r="L45" s="2" t="s">
        <v>160</v>
      </c>
      <c r="M45" s="2" t="s">
        <v>39</v>
      </c>
      <c r="N45" s="2" t="s">
        <v>39</v>
      </c>
      <c r="O45" s="2">
        <v>0</v>
      </c>
      <c r="P45" s="2">
        <v>10720</v>
      </c>
      <c r="Q45" s="2">
        <v>91109</v>
      </c>
      <c r="R45" s="2" t="s">
        <v>40</v>
      </c>
      <c r="S45" s="2" t="s">
        <v>41</v>
      </c>
      <c r="T45" s="2" t="s">
        <v>33</v>
      </c>
      <c r="U45" s="2" t="s">
        <v>33</v>
      </c>
      <c r="V45" s="2" t="s">
        <v>33</v>
      </c>
      <c r="W45" s="2" t="s">
        <v>70</v>
      </c>
      <c r="X45" s="2" t="s">
        <v>161</v>
      </c>
      <c r="Y45" s="2" t="str">
        <f>HYPERLINK("http://srvdis221.distracom.com.co/consulta5/consultalite.aspx?nombrearchivador=Contabilidad&amp;valoresbusqueda=TIPO_DOCUMENTO=RM%20AND%20CONSECUTIVO=REDW126428","REDW126428")</f>
        <v>REDW126428</v>
      </c>
      <c r="Z45" s="2" t="s">
        <v>44</v>
      </c>
      <c r="AA45" s="2" t="s">
        <v>45</v>
      </c>
      <c r="AB45" s="2" t="s">
        <v>46</v>
      </c>
      <c r="AC45" s="2" t="s">
        <v>47</v>
      </c>
    </row>
    <row r="46" spans="1:33" hidden="1">
      <c r="A46" s="20"/>
      <c r="B46" s="20"/>
      <c r="C46" s="20"/>
      <c r="D46" s="20"/>
      <c r="E46" s="20"/>
      <c r="F46" s="20"/>
      <c r="G46" s="20"/>
      <c r="H46" s="20"/>
      <c r="I46" s="47" t="s">
        <v>162</v>
      </c>
      <c r="J46" s="54"/>
      <c r="K46" s="21">
        <v>380.09604317650002</v>
      </c>
      <c r="L46" s="20" t="s">
        <v>163</v>
      </c>
      <c r="M46" s="48" t="s">
        <v>164</v>
      </c>
      <c r="N46" s="54"/>
      <c r="O46" s="54"/>
      <c r="P46" s="54"/>
      <c r="Q46" s="48" t="s">
        <v>165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hidden="1">
      <c r="M47" s="54"/>
      <c r="N47" s="54"/>
      <c r="O47" s="54"/>
      <c r="P47" s="54"/>
      <c r="Q47" s="54"/>
    </row>
    <row r="48" spans="1:33" hidden="1">
      <c r="M48" s="54"/>
      <c r="N48" s="54"/>
      <c r="O48" s="54"/>
      <c r="P48" s="54"/>
      <c r="Q48" s="54"/>
    </row>
  </sheetData>
  <autoFilter ref="A2:AC48" xr:uid="{00000000-0001-0000-0000-000000000000}">
    <filterColumn colId="9">
      <filters>
        <dateGroupItem year="2025" month="2" dateTimeGrouping="month"/>
      </filters>
    </filterColumn>
  </autoFilter>
  <mergeCells count="4">
    <mergeCell ref="Y1:AC1"/>
    <mergeCell ref="I46:J46"/>
    <mergeCell ref="M46:P48"/>
    <mergeCell ref="Q46:Q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821A-5529-4C89-8108-DAD83D6D2405}">
  <sheetPr filterMode="1"/>
  <dimension ref="A1:AB19"/>
  <sheetViews>
    <sheetView topLeftCell="D1" workbookViewId="0">
      <pane ySplit="1" topLeftCell="A2" activePane="bottomLeft" state="frozen"/>
      <selection pane="bottomLeft" activeCell="M35" sqref="M35"/>
    </sheetView>
  </sheetViews>
  <sheetFormatPr defaultColWidth="9.140625" defaultRowHeight="15" customHeight="1"/>
  <cols>
    <col min="1" max="1" width="9.7109375" bestFit="1" customWidth="1"/>
    <col min="2" max="2" width="21.28515625" customWidth="1"/>
    <col min="3" max="3" width="11.28515625" customWidth="1"/>
    <col min="4" max="4" width="21.28515625" customWidth="1"/>
    <col min="5" max="5" width="11.28515625" customWidth="1"/>
    <col min="6" max="6" width="17" customWidth="1"/>
    <col min="7" max="7" width="20.7109375" bestFit="1" customWidth="1"/>
    <col min="8" max="8" width="13.7109375" bestFit="1" customWidth="1"/>
    <col min="9" max="9" width="21.28515625" customWidth="1"/>
    <col min="10" max="10" width="15.5703125" customWidth="1"/>
    <col min="11" max="11" width="10" customWidth="1"/>
    <col min="12" max="12" width="9.7109375" bestFit="1" customWidth="1"/>
    <col min="13" max="13" width="7" customWidth="1"/>
    <col min="14" max="14" width="8.42578125" customWidth="1"/>
    <col min="15" max="15" width="13.7109375" customWidth="1"/>
    <col min="16" max="16" width="9.7109375" bestFit="1" customWidth="1"/>
    <col min="17" max="17" width="8.42578125" customWidth="1"/>
    <col min="18" max="18" width="30.7109375" bestFit="1" customWidth="1"/>
    <col min="19" max="19" width="7" customWidth="1"/>
    <col min="20" max="20" width="11.28515625" customWidth="1"/>
    <col min="21" max="21" width="14.7109375" bestFit="1" customWidth="1"/>
    <col min="22" max="22" width="15.7109375" bestFit="1" customWidth="1"/>
    <col min="23" max="23" width="11.7109375" bestFit="1" customWidth="1"/>
    <col min="24" max="24" width="28.42578125" customWidth="1"/>
  </cols>
  <sheetData>
    <row r="1" spans="1:24">
      <c r="A1" s="22" t="s">
        <v>166</v>
      </c>
      <c r="B1" s="22" t="s">
        <v>1</v>
      </c>
      <c r="C1" s="22" t="s">
        <v>2</v>
      </c>
      <c r="D1" s="22" t="s">
        <v>3</v>
      </c>
      <c r="E1" s="22" t="s">
        <v>5</v>
      </c>
      <c r="F1" s="22" t="s">
        <v>7</v>
      </c>
      <c r="G1" s="22" t="s">
        <v>8</v>
      </c>
      <c r="H1" s="22" t="s">
        <v>9</v>
      </c>
      <c r="I1" s="22" t="s">
        <v>10</v>
      </c>
      <c r="J1" s="22" t="s">
        <v>11</v>
      </c>
      <c r="K1" s="22" t="s">
        <v>12</v>
      </c>
      <c r="L1" s="22" t="s">
        <v>14</v>
      </c>
      <c r="M1" s="22" t="s">
        <v>15</v>
      </c>
      <c r="N1" s="22" t="s">
        <v>16</v>
      </c>
      <c r="O1" s="22" t="s">
        <v>17</v>
      </c>
      <c r="P1" s="22" t="s">
        <v>18</v>
      </c>
      <c r="Q1" s="22" t="s">
        <v>19</v>
      </c>
      <c r="R1" s="22" t="s">
        <v>23</v>
      </c>
      <c r="S1" s="22" t="s">
        <v>24</v>
      </c>
      <c r="T1" s="22" t="s">
        <v>25</v>
      </c>
      <c r="U1" s="22" t="s">
        <v>26</v>
      </c>
      <c r="V1" s="22" t="s">
        <v>27</v>
      </c>
      <c r="W1" s="22" t="s">
        <v>28</v>
      </c>
      <c r="X1" s="22" t="s">
        <v>29</v>
      </c>
    </row>
    <row r="2" spans="1:24">
      <c r="A2" t="s">
        <v>33</v>
      </c>
      <c r="B2" t="s">
        <v>30</v>
      </c>
      <c r="C2" t="s">
        <v>167</v>
      </c>
      <c r="D2" t="s">
        <v>168</v>
      </c>
      <c r="E2" t="s">
        <v>169</v>
      </c>
      <c r="F2" t="s">
        <v>35</v>
      </c>
      <c r="G2" t="s">
        <v>36</v>
      </c>
      <c r="H2" t="s">
        <v>37</v>
      </c>
      <c r="I2" s="23">
        <v>46078.311085532405</v>
      </c>
      <c r="J2">
        <v>14.257001795300001</v>
      </c>
      <c r="K2" t="s">
        <v>170</v>
      </c>
      <c r="L2" t="s">
        <v>39</v>
      </c>
      <c r="M2">
        <v>0</v>
      </c>
      <c r="N2">
        <v>11140</v>
      </c>
      <c r="O2">
        <v>158823</v>
      </c>
      <c r="P2" t="s">
        <v>40</v>
      </c>
      <c r="Q2" t="s">
        <v>41</v>
      </c>
      <c r="R2" t="s">
        <v>56</v>
      </c>
      <c r="S2" t="s">
        <v>171</v>
      </c>
      <c r="T2" t="str">
        <f>HYPERLINK("http://srvdis221.distracom.com.co/consulta5/consultalite.aspx?nombrearchivador=Contabilidad&amp;valoresbusqueda=TIPO_DOCUMENTO=RM%20AND%20CONSECUTIVO=REDW139025","REDW139025")</f>
        <v>REDW139025</v>
      </c>
      <c r="U2" t="s">
        <v>44</v>
      </c>
      <c r="V2" t="s">
        <v>45</v>
      </c>
      <c r="W2" t="s">
        <v>46</v>
      </c>
      <c r="X2" t="s">
        <v>47</v>
      </c>
    </row>
    <row r="3" spans="1:24">
      <c r="A3" t="s">
        <v>33</v>
      </c>
      <c r="B3" t="s">
        <v>30</v>
      </c>
      <c r="C3" t="s">
        <v>117</v>
      </c>
      <c r="D3" t="s">
        <v>118</v>
      </c>
      <c r="E3" t="s">
        <v>172</v>
      </c>
      <c r="F3" t="s">
        <v>35</v>
      </c>
      <c r="G3" t="s">
        <v>36</v>
      </c>
      <c r="H3" t="s">
        <v>37</v>
      </c>
      <c r="I3" s="23">
        <v>46078.567718749997</v>
      </c>
      <c r="J3">
        <v>18.063016158</v>
      </c>
      <c r="K3" t="s">
        <v>173</v>
      </c>
      <c r="L3" t="s">
        <v>39</v>
      </c>
      <c r="M3">
        <v>0</v>
      </c>
      <c r="N3">
        <v>11140</v>
      </c>
      <c r="O3" s="24">
        <v>201222</v>
      </c>
      <c r="P3" t="s">
        <v>40</v>
      </c>
      <c r="Q3" t="s">
        <v>41</v>
      </c>
      <c r="R3" t="s">
        <v>56</v>
      </c>
      <c r="S3" t="s">
        <v>174</v>
      </c>
      <c r="T3" t="str">
        <f>HYPERLINK("http://srvdis221.distracom.com.co/consulta5/consultalite.aspx?nombrearchivador=Contabilidad&amp;valoresbusqueda=TIPO_DOCUMENTO=RM%20AND%20CONSECUTIVO=REDW139056","REDW139056")</f>
        <v>REDW139056</v>
      </c>
      <c r="U3" t="s">
        <v>44</v>
      </c>
      <c r="V3" t="s">
        <v>45</v>
      </c>
      <c r="W3" t="s">
        <v>46</v>
      </c>
      <c r="X3" t="s">
        <v>47</v>
      </c>
    </row>
    <row r="4" spans="1:24">
      <c r="A4" t="s">
        <v>33</v>
      </c>
      <c r="B4" t="s">
        <v>30</v>
      </c>
      <c r="C4" t="s">
        <v>63</v>
      </c>
      <c r="D4" t="s">
        <v>64</v>
      </c>
      <c r="E4" t="s">
        <v>175</v>
      </c>
      <c r="F4" t="s">
        <v>35</v>
      </c>
      <c r="G4" t="s">
        <v>36</v>
      </c>
      <c r="H4" t="s">
        <v>37</v>
      </c>
      <c r="I4" s="23">
        <v>46078.688840740739</v>
      </c>
      <c r="J4">
        <v>17.373967684</v>
      </c>
      <c r="K4" t="s">
        <v>176</v>
      </c>
      <c r="L4" t="s">
        <v>39</v>
      </c>
      <c r="M4">
        <v>0</v>
      </c>
      <c r="N4">
        <v>11140</v>
      </c>
      <c r="O4">
        <v>193546</v>
      </c>
      <c r="P4" t="s">
        <v>40</v>
      </c>
      <c r="Q4" t="s">
        <v>41</v>
      </c>
      <c r="R4" t="s">
        <v>177</v>
      </c>
      <c r="S4" t="s">
        <v>178</v>
      </c>
      <c r="T4" t="str">
        <f>HYPERLINK("http://srvdis221.distracom.com.co/consulta5/consultalite.aspx?nombrearchivador=Contabilidad&amp;valoresbusqueda=TIPO_DOCUMENTO=RM%20AND%20CONSECUTIVO=REDW139058","REDW139058")</f>
        <v>REDW139058</v>
      </c>
      <c r="U4" t="s">
        <v>44</v>
      </c>
      <c r="V4" t="s">
        <v>45</v>
      </c>
      <c r="W4" t="s">
        <v>46</v>
      </c>
      <c r="X4" t="s">
        <v>47</v>
      </c>
    </row>
    <row r="5" spans="1:24">
      <c r="A5" t="s">
        <v>33</v>
      </c>
      <c r="B5" t="s">
        <v>30</v>
      </c>
      <c r="C5" t="s">
        <v>31</v>
      </c>
      <c r="D5" t="s">
        <v>32</v>
      </c>
      <c r="E5" t="s">
        <v>179</v>
      </c>
      <c r="F5" t="s">
        <v>35</v>
      </c>
      <c r="G5" t="s">
        <v>36</v>
      </c>
      <c r="H5" t="s">
        <v>37</v>
      </c>
      <c r="I5" s="23">
        <v>46080.385358680556</v>
      </c>
      <c r="J5">
        <v>10.3410233393</v>
      </c>
      <c r="K5" t="s">
        <v>180</v>
      </c>
      <c r="L5" t="s">
        <v>39</v>
      </c>
      <c r="M5">
        <v>0</v>
      </c>
      <c r="N5">
        <v>11140</v>
      </c>
      <c r="O5">
        <v>115199</v>
      </c>
      <c r="P5" t="s">
        <v>40</v>
      </c>
      <c r="Q5" t="s">
        <v>41</v>
      </c>
      <c r="R5" t="s">
        <v>56</v>
      </c>
      <c r="S5" t="s">
        <v>181</v>
      </c>
      <c r="T5" t="str">
        <f>HYPERLINK("http://srvdis221.distracom.com.co/consulta5/consultalite.aspx?nombrearchivador=Contabilidad&amp;valoresbusqueda=TIPO_DOCUMENTO=RM%20AND%20CONSECUTIVO=REDW139130","REDW139130")</f>
        <v>REDW139130</v>
      </c>
      <c r="U5" t="s">
        <v>44</v>
      </c>
      <c r="V5" t="s">
        <v>45</v>
      </c>
      <c r="W5" t="s">
        <v>46</v>
      </c>
      <c r="X5" t="s">
        <v>47</v>
      </c>
    </row>
    <row r="6" spans="1:24" hidden="1">
      <c r="A6" t="s">
        <v>33</v>
      </c>
      <c r="B6" t="s">
        <v>30</v>
      </c>
      <c r="C6" t="s">
        <v>167</v>
      </c>
      <c r="D6" t="s">
        <v>168</v>
      </c>
      <c r="E6" t="s">
        <v>169</v>
      </c>
      <c r="F6" t="s">
        <v>35</v>
      </c>
      <c r="G6" t="s">
        <v>36</v>
      </c>
      <c r="H6" t="s">
        <v>37</v>
      </c>
      <c r="I6" s="23">
        <v>46085.62838923611</v>
      </c>
      <c r="J6">
        <v>10.6900359066</v>
      </c>
      <c r="K6" t="s">
        <v>182</v>
      </c>
      <c r="L6" t="s">
        <v>39</v>
      </c>
      <c r="M6">
        <v>0</v>
      </c>
      <c r="N6">
        <v>11140</v>
      </c>
      <c r="O6">
        <v>119087</v>
      </c>
      <c r="P6" t="s">
        <v>40</v>
      </c>
      <c r="Q6" t="s">
        <v>41</v>
      </c>
      <c r="R6" t="s">
        <v>56</v>
      </c>
      <c r="S6" t="s">
        <v>183</v>
      </c>
      <c r="T6" t="str">
        <f>HYPERLINK("http://srvdis221.distracom.com.co/consulta5/consultalite.aspx?nombrearchivador=Contabilidad&amp;valoresbusqueda=TIPO_DOCUMENTO=RM%20AND%20CONSECUTIVO=REDW139305","REDW139305")</f>
        <v>REDW139305</v>
      </c>
      <c r="U6" t="s">
        <v>44</v>
      </c>
      <c r="V6" t="s">
        <v>45</v>
      </c>
      <c r="W6" t="s">
        <v>46</v>
      </c>
      <c r="X6" t="s">
        <v>47</v>
      </c>
    </row>
    <row r="7" spans="1:24" hidden="1">
      <c r="A7" t="s">
        <v>33</v>
      </c>
      <c r="B7" t="s">
        <v>30</v>
      </c>
      <c r="C7" t="s">
        <v>167</v>
      </c>
      <c r="D7" t="s">
        <v>168</v>
      </c>
      <c r="E7" t="s">
        <v>169</v>
      </c>
      <c r="F7" t="s">
        <v>35</v>
      </c>
      <c r="G7" t="s">
        <v>36</v>
      </c>
      <c r="H7" t="s">
        <v>37</v>
      </c>
      <c r="I7" s="23">
        <v>46090.371148148151</v>
      </c>
      <c r="J7">
        <v>8.7649910233000004</v>
      </c>
      <c r="K7" t="s">
        <v>184</v>
      </c>
      <c r="L7" t="s">
        <v>39</v>
      </c>
      <c r="M7">
        <v>0</v>
      </c>
      <c r="N7">
        <v>11140</v>
      </c>
      <c r="O7">
        <v>97642</v>
      </c>
      <c r="P7" t="s">
        <v>40</v>
      </c>
      <c r="Q7" t="s">
        <v>41</v>
      </c>
      <c r="R7" t="s">
        <v>185</v>
      </c>
      <c r="S7" t="s">
        <v>186</v>
      </c>
      <c r="T7" t="str">
        <f>HYPERLINK("http://srvdis221.distracom.com.co/consulta5/consultalite.aspx?nombrearchivador=Contabilidad&amp;valoresbusqueda=TIPO_DOCUMENTO=RM%20AND%20CONSECUTIVO=REDW139461","REDW139461")</f>
        <v>REDW139461</v>
      </c>
      <c r="U7" t="s">
        <v>44</v>
      </c>
      <c r="V7" t="s">
        <v>45</v>
      </c>
      <c r="W7" t="s">
        <v>46</v>
      </c>
      <c r="X7" t="s">
        <v>47</v>
      </c>
    </row>
    <row r="8" spans="1:24" hidden="1">
      <c r="A8" t="s">
        <v>33</v>
      </c>
      <c r="B8" t="s">
        <v>30</v>
      </c>
      <c r="C8" t="s">
        <v>167</v>
      </c>
      <c r="D8" t="s">
        <v>168</v>
      </c>
      <c r="E8" t="s">
        <v>169</v>
      </c>
      <c r="F8" t="s">
        <v>35</v>
      </c>
      <c r="G8" t="s">
        <v>36</v>
      </c>
      <c r="H8" t="s">
        <v>37</v>
      </c>
      <c r="I8" s="23">
        <v>46093.544075347221</v>
      </c>
      <c r="J8">
        <v>11.866965888699999</v>
      </c>
      <c r="K8" t="s">
        <v>187</v>
      </c>
      <c r="L8" t="s">
        <v>39</v>
      </c>
      <c r="M8">
        <v>0</v>
      </c>
      <c r="N8">
        <v>11140</v>
      </c>
      <c r="O8">
        <v>132198</v>
      </c>
      <c r="P8" t="s">
        <v>40</v>
      </c>
      <c r="Q8" t="s">
        <v>41</v>
      </c>
      <c r="R8" t="s">
        <v>185</v>
      </c>
      <c r="S8" t="s">
        <v>188</v>
      </c>
      <c r="T8" t="str">
        <f>HYPERLINK("http://srvdis221.distracom.com.co/consulta5/consultalite.aspx?nombrearchivador=Contabilidad&amp;valoresbusqueda=TIPO_DOCUMENTO=RM%20AND%20CONSECUTIVO=REDW139618","REDW139618")</f>
        <v>REDW139618</v>
      </c>
      <c r="U8" t="s">
        <v>44</v>
      </c>
      <c r="V8" t="s">
        <v>45</v>
      </c>
      <c r="W8" t="s">
        <v>46</v>
      </c>
      <c r="X8" t="s">
        <v>47</v>
      </c>
    </row>
    <row r="9" spans="1:24" hidden="1">
      <c r="A9" t="s">
        <v>33</v>
      </c>
      <c r="B9" t="s">
        <v>30</v>
      </c>
      <c r="C9" t="s">
        <v>63</v>
      </c>
      <c r="D9" t="s">
        <v>64</v>
      </c>
      <c r="E9" t="s">
        <v>175</v>
      </c>
      <c r="F9" t="s">
        <v>35</v>
      </c>
      <c r="G9" t="s">
        <v>36</v>
      </c>
      <c r="H9" t="s">
        <v>37</v>
      </c>
      <c r="I9" s="23">
        <v>46094.431132754631</v>
      </c>
      <c r="J9">
        <v>14.5429982047</v>
      </c>
      <c r="K9" t="s">
        <v>189</v>
      </c>
      <c r="L9" t="s">
        <v>39</v>
      </c>
      <c r="M9">
        <v>0</v>
      </c>
      <c r="N9">
        <v>11140</v>
      </c>
      <c r="O9">
        <v>162009</v>
      </c>
      <c r="P9" t="s">
        <v>40</v>
      </c>
      <c r="Q9" t="s">
        <v>41</v>
      </c>
      <c r="R9" t="s">
        <v>185</v>
      </c>
      <c r="S9" t="s">
        <v>190</v>
      </c>
      <c r="T9" t="str">
        <f>HYPERLINK("http://srvdis221.distracom.com.co/consulta5/consultalite.aspx?nombrearchivador=Contabilidad&amp;valoresbusqueda=TIPO_DOCUMENTO=RM%20AND%20CONSECUTIVO=REDW139662","REDW139662")</f>
        <v>REDW139662</v>
      </c>
      <c r="U9" t="s">
        <v>44</v>
      </c>
      <c r="V9" t="s">
        <v>45</v>
      </c>
      <c r="W9" t="s">
        <v>46</v>
      </c>
      <c r="X9" t="s">
        <v>47</v>
      </c>
    </row>
    <row r="10" spans="1:24" hidden="1">
      <c r="A10" t="s">
        <v>33</v>
      </c>
      <c r="B10" t="s">
        <v>30</v>
      </c>
      <c r="C10" t="s">
        <v>191</v>
      </c>
      <c r="D10" t="s">
        <v>192</v>
      </c>
      <c r="E10" t="s">
        <v>193</v>
      </c>
      <c r="F10" t="s">
        <v>35</v>
      </c>
      <c r="G10" t="s">
        <v>36</v>
      </c>
      <c r="H10" t="s">
        <v>37</v>
      </c>
      <c r="I10" s="23">
        <v>46094.499425462964</v>
      </c>
      <c r="J10">
        <v>6.0089766607000001</v>
      </c>
      <c r="K10" t="s">
        <v>194</v>
      </c>
      <c r="L10" t="s">
        <v>39</v>
      </c>
      <c r="M10">
        <v>0</v>
      </c>
      <c r="N10">
        <v>11140</v>
      </c>
      <c r="O10">
        <v>66940</v>
      </c>
      <c r="P10" t="s">
        <v>40</v>
      </c>
      <c r="Q10" t="s">
        <v>41</v>
      </c>
      <c r="R10" t="s">
        <v>185</v>
      </c>
      <c r="S10" t="s">
        <v>195</v>
      </c>
      <c r="T10" t="str">
        <f>HYPERLINK("http://srvdis221.distracom.com.co/consulta5/consultalite.aspx?nombrearchivador=Contabilidad&amp;valoresbusqueda=TIPO_DOCUMENTO=RM%20AND%20CONSECUTIVO=REDW139666","REDW139666")</f>
        <v>REDW139666</v>
      </c>
      <c r="U10" t="s">
        <v>44</v>
      </c>
      <c r="V10" t="s">
        <v>45</v>
      </c>
      <c r="W10" t="s">
        <v>46</v>
      </c>
      <c r="X10" t="s">
        <v>47</v>
      </c>
    </row>
    <row r="11" spans="1:24" hidden="1">
      <c r="A11" t="s">
        <v>33</v>
      </c>
      <c r="B11" t="s">
        <v>30</v>
      </c>
      <c r="C11" t="s">
        <v>117</v>
      </c>
      <c r="D11" t="s">
        <v>118</v>
      </c>
      <c r="E11" t="s">
        <v>172</v>
      </c>
      <c r="F11" t="s">
        <v>35</v>
      </c>
      <c r="G11" t="s">
        <v>36</v>
      </c>
      <c r="H11" t="s">
        <v>37</v>
      </c>
      <c r="I11" s="23">
        <v>46094.760596296299</v>
      </c>
      <c r="J11">
        <v>12.028994614</v>
      </c>
      <c r="K11" t="s">
        <v>196</v>
      </c>
      <c r="L11" t="s">
        <v>39</v>
      </c>
      <c r="M11">
        <v>0</v>
      </c>
      <c r="N11">
        <v>11140</v>
      </c>
      <c r="O11">
        <v>134003</v>
      </c>
      <c r="P11" t="s">
        <v>40</v>
      </c>
      <c r="Q11" t="s">
        <v>41</v>
      </c>
      <c r="R11" t="s">
        <v>177</v>
      </c>
      <c r="S11" t="s">
        <v>197</v>
      </c>
      <c r="T11" t="str">
        <f>HYPERLINK("http://srvdis221.distracom.com.co/consulta5/consultalite.aspx?nombrearchivador=Contabilidad&amp;valoresbusqueda=TIPO_DOCUMENTO=RM%20AND%20CONSECUTIVO=REDW139675","REDW139675")</f>
        <v>REDW139675</v>
      </c>
      <c r="U11" t="s">
        <v>44</v>
      </c>
      <c r="V11" t="s">
        <v>45</v>
      </c>
      <c r="W11" t="s">
        <v>46</v>
      </c>
      <c r="X11" t="s">
        <v>47</v>
      </c>
    </row>
    <row r="12" spans="1:24" hidden="1">
      <c r="A12" t="s">
        <v>33</v>
      </c>
      <c r="B12" t="s">
        <v>30</v>
      </c>
      <c r="C12" t="s">
        <v>167</v>
      </c>
      <c r="D12" t="s">
        <v>168</v>
      </c>
      <c r="E12" t="s">
        <v>169</v>
      </c>
      <c r="F12" t="s">
        <v>35</v>
      </c>
      <c r="G12" t="s">
        <v>36</v>
      </c>
      <c r="H12" t="s">
        <v>37</v>
      </c>
      <c r="I12" s="23">
        <v>46099.302312500004</v>
      </c>
      <c r="J12">
        <v>12.6060143627</v>
      </c>
      <c r="K12" t="s">
        <v>198</v>
      </c>
      <c r="L12" t="s">
        <v>39</v>
      </c>
      <c r="M12">
        <v>0</v>
      </c>
      <c r="N12">
        <v>11140</v>
      </c>
      <c r="O12">
        <v>140431</v>
      </c>
      <c r="P12" t="s">
        <v>40</v>
      </c>
      <c r="Q12" t="s">
        <v>41</v>
      </c>
      <c r="R12" t="s">
        <v>199</v>
      </c>
      <c r="S12" t="s">
        <v>200</v>
      </c>
      <c r="T12" t="str">
        <f>HYPERLINK("http://srvdis221.distracom.com.co/consulta5/consultalite.aspx?nombrearchivador=Contabilidad&amp;valoresbusqueda=TIPO_DOCUMENTO=RM%20AND%20CONSECUTIVO=REDW139814","REDW139814")</f>
        <v>REDW139814</v>
      </c>
      <c r="U12" t="s">
        <v>44</v>
      </c>
      <c r="V12" t="s">
        <v>45</v>
      </c>
      <c r="W12" t="s">
        <v>46</v>
      </c>
      <c r="X12" t="s">
        <v>47</v>
      </c>
    </row>
    <row r="13" spans="1:24" hidden="1">
      <c r="A13" t="s">
        <v>33</v>
      </c>
      <c r="B13" t="s">
        <v>30</v>
      </c>
      <c r="C13" t="s">
        <v>167</v>
      </c>
      <c r="D13" t="s">
        <v>168</v>
      </c>
      <c r="E13" t="s">
        <v>169</v>
      </c>
      <c r="F13" t="s">
        <v>35</v>
      </c>
      <c r="G13" t="s">
        <v>36</v>
      </c>
      <c r="H13" t="s">
        <v>37</v>
      </c>
      <c r="I13" s="23">
        <v>46101.303736574075</v>
      </c>
      <c r="J13">
        <v>8.1630161579999996</v>
      </c>
      <c r="K13" t="s">
        <v>201</v>
      </c>
      <c r="L13" t="s">
        <v>39</v>
      </c>
      <c r="M13">
        <v>0</v>
      </c>
      <c r="N13">
        <v>11140</v>
      </c>
      <c r="O13">
        <v>90936</v>
      </c>
      <c r="P13" t="s">
        <v>40</v>
      </c>
      <c r="Q13" t="s">
        <v>41</v>
      </c>
      <c r="R13" t="s">
        <v>199</v>
      </c>
      <c r="S13" t="s">
        <v>202</v>
      </c>
      <c r="T13" t="str">
        <f>HYPERLINK("http://srvdis221.distracom.com.co/consulta5/consultalite.aspx?nombrearchivador=Contabilidad&amp;valoresbusqueda=TIPO_DOCUMENTO=RM%20AND%20CONSECUTIVO=REDW139910","REDW139910")</f>
        <v>REDW139910</v>
      </c>
      <c r="U13" t="s">
        <v>44</v>
      </c>
      <c r="V13" t="s">
        <v>45</v>
      </c>
      <c r="W13" t="s">
        <v>46</v>
      </c>
      <c r="X13" t="s">
        <v>47</v>
      </c>
    </row>
    <row r="14" spans="1:24" hidden="1">
      <c r="A14" t="s">
        <v>33</v>
      </c>
      <c r="B14" t="s">
        <v>30</v>
      </c>
      <c r="C14" t="s">
        <v>63</v>
      </c>
      <c r="D14" t="s">
        <v>64</v>
      </c>
      <c r="E14" t="s">
        <v>175</v>
      </c>
      <c r="F14" t="s">
        <v>35</v>
      </c>
      <c r="G14" t="s">
        <v>36</v>
      </c>
      <c r="H14" t="s">
        <v>37</v>
      </c>
      <c r="I14" s="23">
        <v>46101.510779861113</v>
      </c>
      <c r="J14">
        <v>12.5140035907</v>
      </c>
      <c r="K14" t="s">
        <v>203</v>
      </c>
      <c r="L14" t="s">
        <v>39</v>
      </c>
      <c r="M14">
        <v>0</v>
      </c>
      <c r="N14">
        <v>11140</v>
      </c>
      <c r="O14">
        <v>139406</v>
      </c>
      <c r="P14" t="s">
        <v>40</v>
      </c>
      <c r="Q14" t="s">
        <v>41</v>
      </c>
      <c r="R14" t="s">
        <v>199</v>
      </c>
      <c r="S14" t="s">
        <v>204</v>
      </c>
      <c r="T14" t="str">
        <f>HYPERLINK("http://srvdis221.distracom.com.co/consulta5/consultalite.aspx?nombrearchivador=Contabilidad&amp;valoresbusqueda=TIPO_DOCUMENTO=RM%20AND%20CONSECUTIVO=REDW139942","REDW139942")</f>
        <v>REDW139942</v>
      </c>
      <c r="U14" t="s">
        <v>44</v>
      </c>
      <c r="V14" t="s">
        <v>45</v>
      </c>
      <c r="W14" t="s">
        <v>46</v>
      </c>
      <c r="X14" t="s">
        <v>47</v>
      </c>
    </row>
    <row r="15" spans="1:24" hidden="1">
      <c r="A15" t="s">
        <v>33</v>
      </c>
      <c r="B15" t="s">
        <v>30</v>
      </c>
      <c r="C15" t="s">
        <v>167</v>
      </c>
      <c r="D15" t="s">
        <v>168</v>
      </c>
      <c r="E15" t="s">
        <v>169</v>
      </c>
      <c r="F15" t="s">
        <v>35</v>
      </c>
      <c r="G15" t="s">
        <v>36</v>
      </c>
      <c r="H15" t="s">
        <v>37</v>
      </c>
      <c r="I15" s="23">
        <v>46107.391962731483</v>
      </c>
      <c r="J15">
        <v>10.975044883300001</v>
      </c>
      <c r="K15" t="s">
        <v>205</v>
      </c>
      <c r="L15" t="s">
        <v>39</v>
      </c>
      <c r="M15">
        <v>0</v>
      </c>
      <c r="N15">
        <v>11140</v>
      </c>
      <c r="O15">
        <v>122262</v>
      </c>
      <c r="P15" t="s">
        <v>40</v>
      </c>
      <c r="Q15" t="s">
        <v>41</v>
      </c>
      <c r="R15" t="s">
        <v>177</v>
      </c>
      <c r="S15" t="s">
        <v>206</v>
      </c>
      <c r="T15" t="str">
        <f>HYPERLINK("http://srvdis221.distracom.com.co/consulta5/consultalite.aspx?nombrearchivador=Contabilidad&amp;valoresbusqueda=TIPO_DOCUMENTO=RM%20AND%20CONSECUTIVO=REDW140134","REDW140134")</f>
        <v>REDW140134</v>
      </c>
      <c r="U15" t="s">
        <v>44</v>
      </c>
      <c r="V15" t="s">
        <v>45</v>
      </c>
      <c r="W15" t="s">
        <v>46</v>
      </c>
      <c r="X15" t="s">
        <v>47</v>
      </c>
    </row>
    <row r="16" spans="1:24" hidden="1">
      <c r="A16" t="s">
        <v>33</v>
      </c>
      <c r="B16" t="s">
        <v>30</v>
      </c>
      <c r="C16" t="s">
        <v>191</v>
      </c>
      <c r="D16" t="s">
        <v>192</v>
      </c>
      <c r="E16" t="s">
        <v>193</v>
      </c>
      <c r="F16" t="s">
        <v>35</v>
      </c>
      <c r="G16" t="s">
        <v>36</v>
      </c>
      <c r="H16" t="s">
        <v>37</v>
      </c>
      <c r="I16" s="23">
        <v>46108.441047222223</v>
      </c>
      <c r="J16">
        <v>31.421005386000001</v>
      </c>
      <c r="K16" t="s">
        <v>207</v>
      </c>
      <c r="L16" t="s">
        <v>39</v>
      </c>
      <c r="M16">
        <v>0</v>
      </c>
      <c r="N16">
        <v>11140</v>
      </c>
      <c r="O16">
        <v>350030</v>
      </c>
      <c r="P16" t="s">
        <v>40</v>
      </c>
      <c r="Q16" t="s">
        <v>41</v>
      </c>
      <c r="R16" t="s">
        <v>208</v>
      </c>
      <c r="S16" t="s">
        <v>209</v>
      </c>
      <c r="T16" t="str">
        <f>HYPERLINK("http://srvdis221.distracom.com.co/consulta5/consultalite.aspx?nombrearchivador=Contabilidad&amp;valoresbusqueda=TIPO_DOCUMENTO=RM%20AND%20CONSECUTIVO=REDW140180","REDW140180")</f>
        <v>REDW140180</v>
      </c>
      <c r="U16" t="s">
        <v>44</v>
      </c>
      <c r="V16" t="s">
        <v>45</v>
      </c>
      <c r="W16" t="s">
        <v>46</v>
      </c>
      <c r="X16" t="s">
        <v>47</v>
      </c>
    </row>
    <row r="17" spans="1:28" hidden="1">
      <c r="A17" s="20"/>
      <c r="B17" s="20"/>
      <c r="C17" s="20"/>
      <c r="D17" s="20"/>
      <c r="E17" s="20"/>
      <c r="F17" s="20"/>
      <c r="G17" s="20"/>
      <c r="H17" s="47" t="s">
        <v>162</v>
      </c>
      <c r="I17" s="54"/>
      <c r="J17" s="21">
        <v>199.61705565529999</v>
      </c>
      <c r="K17" s="20" t="s">
        <v>163</v>
      </c>
      <c r="L17" s="54"/>
      <c r="M17" s="54"/>
      <c r="N17" s="54"/>
      <c r="O17" s="48" t="s">
        <v>210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idden="1">
      <c r="L18" s="54"/>
      <c r="M18" s="54"/>
      <c r="N18" s="54"/>
      <c r="O18" s="54"/>
    </row>
    <row r="19" spans="1:28" hidden="1">
      <c r="L19" s="54"/>
      <c r="M19" s="54"/>
      <c r="N19" s="54"/>
      <c r="O19" s="54"/>
    </row>
  </sheetData>
  <autoFilter ref="A1:W19" xr:uid="{00000000-0001-0000-0000-000000000000}">
    <filterColumn colId="8">
      <filters>
        <dateGroupItem year="2026" month="2" dateTimeGrouping="month"/>
      </filters>
    </filterColumn>
  </autoFilter>
  <mergeCells count="3">
    <mergeCell ref="H17:I17"/>
    <mergeCell ref="L17:N19"/>
    <mergeCell ref="O17:O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E456-5618-4728-B678-14A45663B43F}">
  <sheetPr filterMode="1"/>
  <dimension ref="A1:AH19"/>
  <sheetViews>
    <sheetView topLeftCell="I1" workbookViewId="0">
      <pane ySplit="1" topLeftCell="E2" activePane="bottomLeft" state="frozen"/>
      <selection pane="bottomLeft" activeCell="K29" sqref="K29"/>
    </sheetView>
  </sheetViews>
  <sheetFormatPr defaultColWidth="9.140625" defaultRowHeight="15" customHeight="1"/>
  <cols>
    <col min="1" max="1" width="9.7109375" bestFit="1" customWidth="1"/>
    <col min="2" max="2" width="21.28515625" customWidth="1"/>
    <col min="3" max="3" width="11.28515625" customWidth="1"/>
    <col min="4" max="4" width="21.28515625" customWidth="1"/>
    <col min="5" max="5" width="13.7109375" bestFit="1" customWidth="1"/>
    <col min="6" max="6" width="11.28515625" customWidth="1"/>
    <col min="7" max="7" width="12.7109375" bestFit="1" customWidth="1"/>
    <col min="8" max="8" width="17" customWidth="1"/>
    <col min="9" max="9" width="20.7109375" bestFit="1" customWidth="1"/>
    <col min="10" max="10" width="13.7109375" bestFit="1" customWidth="1"/>
    <col min="11" max="11" width="21.28515625" customWidth="1"/>
    <col min="12" max="12" width="15.5703125" customWidth="1"/>
    <col min="13" max="13" width="10" customWidth="1"/>
    <col min="14" max="14" width="52.7109375" bestFit="1" customWidth="1"/>
    <col min="15" max="15" width="9.7109375" bestFit="1" customWidth="1"/>
    <col min="16" max="16" width="7" customWidth="1"/>
    <col min="17" max="18" width="8.42578125" customWidth="1"/>
    <col min="19" max="19" width="9.7109375" bestFit="1" customWidth="1"/>
    <col min="20" max="20" width="8.42578125" customWidth="1"/>
    <col min="21" max="21" width="16.7109375" bestFit="1" customWidth="1"/>
    <col min="22" max="22" width="11.7109375" bestFit="1" customWidth="1"/>
    <col min="23" max="23" width="17" customWidth="1"/>
    <col min="24" max="24" width="30.7109375" bestFit="1" customWidth="1"/>
    <col min="25" max="25" width="7" customWidth="1"/>
    <col min="26" max="26" width="11.28515625" customWidth="1"/>
    <col min="27" max="27" width="14.7109375" bestFit="1" customWidth="1"/>
    <col min="28" max="28" width="15.7109375" bestFit="1" customWidth="1"/>
    <col min="29" max="29" width="11.7109375" bestFit="1" customWidth="1"/>
    <col min="30" max="30" width="28.42578125" customWidth="1"/>
  </cols>
  <sheetData>
    <row r="1" spans="1:30">
      <c r="A1" s="22" t="s">
        <v>166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</row>
    <row r="2" spans="1:30">
      <c r="A2" t="s">
        <v>33</v>
      </c>
      <c r="B2" t="s">
        <v>30</v>
      </c>
      <c r="C2" t="s">
        <v>167</v>
      </c>
      <c r="D2" t="s">
        <v>168</v>
      </c>
      <c r="E2" t="s">
        <v>33</v>
      </c>
      <c r="F2" t="s">
        <v>169</v>
      </c>
      <c r="G2" t="s">
        <v>33</v>
      </c>
      <c r="H2" t="s">
        <v>35</v>
      </c>
      <c r="I2" t="s">
        <v>36</v>
      </c>
      <c r="J2" t="s">
        <v>37</v>
      </c>
      <c r="K2" s="23">
        <v>46078.311085532405</v>
      </c>
      <c r="L2">
        <v>14.257001795300001</v>
      </c>
      <c r="M2" t="s">
        <v>170</v>
      </c>
      <c r="N2" t="s">
        <v>39</v>
      </c>
      <c r="O2" t="s">
        <v>39</v>
      </c>
      <c r="P2">
        <v>0</v>
      </c>
      <c r="Q2">
        <v>11140</v>
      </c>
      <c r="R2">
        <v>158823</v>
      </c>
      <c r="S2" t="s">
        <v>40</v>
      </c>
      <c r="T2" t="s">
        <v>41</v>
      </c>
      <c r="U2" t="s">
        <v>33</v>
      </c>
      <c r="V2" t="s">
        <v>33</v>
      </c>
      <c r="W2" t="s">
        <v>33</v>
      </c>
      <c r="X2" t="s">
        <v>56</v>
      </c>
      <c r="Y2" t="s">
        <v>171</v>
      </c>
      <c r="Z2" t="str">
        <f>HYPERLINK("http://srvdis221.distracom.com.co/consulta5/consultalite.aspx?nombrearchivador=Contabilidad&amp;valoresbusqueda=TIPO_DOCUMENTO=RM%20AND%20CONSECUTIVO=REDW139025","REDW139025")</f>
        <v>REDW139025</v>
      </c>
      <c r="AA2" t="s">
        <v>44</v>
      </c>
      <c r="AB2" t="s">
        <v>45</v>
      </c>
      <c r="AC2" t="s">
        <v>46</v>
      </c>
      <c r="AD2" t="s">
        <v>47</v>
      </c>
    </row>
    <row r="3" spans="1:30">
      <c r="A3" t="s">
        <v>33</v>
      </c>
      <c r="B3" t="s">
        <v>30</v>
      </c>
      <c r="C3" t="s">
        <v>117</v>
      </c>
      <c r="D3" t="s">
        <v>118</v>
      </c>
      <c r="E3" t="s">
        <v>33</v>
      </c>
      <c r="F3" t="s">
        <v>172</v>
      </c>
      <c r="G3" t="s">
        <v>33</v>
      </c>
      <c r="H3" t="s">
        <v>35</v>
      </c>
      <c r="I3" t="s">
        <v>36</v>
      </c>
      <c r="J3" t="s">
        <v>37</v>
      </c>
      <c r="K3" s="23">
        <v>46078.567718749997</v>
      </c>
      <c r="L3">
        <v>18.063016158</v>
      </c>
      <c r="M3" t="s">
        <v>173</v>
      </c>
      <c r="N3" t="s">
        <v>39</v>
      </c>
      <c r="O3" t="s">
        <v>39</v>
      </c>
      <c r="P3">
        <v>0</v>
      </c>
      <c r="Q3">
        <v>11140</v>
      </c>
      <c r="R3">
        <v>201222</v>
      </c>
      <c r="S3" t="s">
        <v>40</v>
      </c>
      <c r="T3" t="s">
        <v>41</v>
      </c>
      <c r="U3" t="s">
        <v>33</v>
      </c>
      <c r="V3" t="s">
        <v>33</v>
      </c>
      <c r="W3" t="s">
        <v>33</v>
      </c>
      <c r="X3" t="s">
        <v>56</v>
      </c>
      <c r="Y3" t="s">
        <v>174</v>
      </c>
      <c r="Z3" t="str">
        <f>HYPERLINK("http://srvdis221.distracom.com.co/consulta5/consultalite.aspx?nombrearchivador=Contabilidad&amp;valoresbusqueda=TIPO_DOCUMENTO=RM%20AND%20CONSECUTIVO=REDW139056","REDW139056")</f>
        <v>REDW139056</v>
      </c>
      <c r="AA3" t="s">
        <v>44</v>
      </c>
      <c r="AB3" t="s">
        <v>45</v>
      </c>
      <c r="AC3" t="s">
        <v>46</v>
      </c>
      <c r="AD3" t="s">
        <v>47</v>
      </c>
    </row>
    <row r="4" spans="1:30">
      <c r="A4" t="s">
        <v>33</v>
      </c>
      <c r="B4" t="s">
        <v>30</v>
      </c>
      <c r="C4" t="s">
        <v>63</v>
      </c>
      <c r="D4" t="s">
        <v>64</v>
      </c>
      <c r="E4" t="s">
        <v>33</v>
      </c>
      <c r="F4" t="s">
        <v>175</v>
      </c>
      <c r="G4" t="s">
        <v>33</v>
      </c>
      <c r="H4" t="s">
        <v>35</v>
      </c>
      <c r="I4" t="s">
        <v>36</v>
      </c>
      <c r="J4" t="s">
        <v>37</v>
      </c>
      <c r="K4" s="23">
        <v>46078.688840740739</v>
      </c>
      <c r="L4">
        <v>17.373967684</v>
      </c>
      <c r="M4" t="s">
        <v>176</v>
      </c>
      <c r="N4" t="s">
        <v>39</v>
      </c>
      <c r="O4" t="s">
        <v>39</v>
      </c>
      <c r="P4">
        <v>0</v>
      </c>
      <c r="Q4">
        <v>11140</v>
      </c>
      <c r="R4">
        <v>193546</v>
      </c>
      <c r="S4" t="s">
        <v>40</v>
      </c>
      <c r="T4" t="s">
        <v>41</v>
      </c>
      <c r="U4" t="s">
        <v>33</v>
      </c>
      <c r="V4" t="s">
        <v>33</v>
      </c>
      <c r="W4" t="s">
        <v>33</v>
      </c>
      <c r="X4" t="s">
        <v>177</v>
      </c>
      <c r="Y4" t="s">
        <v>178</v>
      </c>
      <c r="Z4" t="str">
        <f>HYPERLINK("http://srvdis221.distracom.com.co/consulta5/consultalite.aspx?nombrearchivador=Contabilidad&amp;valoresbusqueda=TIPO_DOCUMENTO=RM%20AND%20CONSECUTIVO=REDW139058","REDW139058")</f>
        <v>REDW139058</v>
      </c>
      <c r="AA4" t="s">
        <v>44</v>
      </c>
      <c r="AB4" t="s">
        <v>45</v>
      </c>
      <c r="AC4" t="s">
        <v>46</v>
      </c>
      <c r="AD4" t="s">
        <v>47</v>
      </c>
    </row>
    <row r="5" spans="1:30">
      <c r="A5" t="s">
        <v>33</v>
      </c>
      <c r="B5" t="s">
        <v>30</v>
      </c>
      <c r="C5" t="s">
        <v>31</v>
      </c>
      <c r="D5" t="s">
        <v>32</v>
      </c>
      <c r="E5" t="s">
        <v>33</v>
      </c>
      <c r="F5" t="s">
        <v>179</v>
      </c>
      <c r="G5" t="s">
        <v>33</v>
      </c>
      <c r="H5" t="s">
        <v>35</v>
      </c>
      <c r="I5" t="s">
        <v>36</v>
      </c>
      <c r="J5" t="s">
        <v>37</v>
      </c>
      <c r="K5" s="23">
        <v>46080.385358680556</v>
      </c>
      <c r="L5">
        <v>10.3410233393</v>
      </c>
      <c r="M5" t="s">
        <v>180</v>
      </c>
      <c r="N5" t="s">
        <v>39</v>
      </c>
      <c r="O5" t="s">
        <v>39</v>
      </c>
      <c r="P5">
        <v>0</v>
      </c>
      <c r="Q5">
        <v>11140</v>
      </c>
      <c r="R5">
        <v>115199</v>
      </c>
      <c r="S5" t="s">
        <v>40</v>
      </c>
      <c r="T5" t="s">
        <v>41</v>
      </c>
      <c r="U5" t="s">
        <v>33</v>
      </c>
      <c r="V5" t="s">
        <v>33</v>
      </c>
      <c r="W5" t="s">
        <v>33</v>
      </c>
      <c r="X5" t="s">
        <v>56</v>
      </c>
      <c r="Y5" t="s">
        <v>181</v>
      </c>
      <c r="Z5" t="str">
        <f>HYPERLINK("http://srvdis221.distracom.com.co/consulta5/consultalite.aspx?nombrearchivador=Contabilidad&amp;valoresbusqueda=TIPO_DOCUMENTO=RM%20AND%20CONSECUTIVO=REDW139130","REDW139130")</f>
        <v>REDW139130</v>
      </c>
      <c r="AA5" t="s">
        <v>44</v>
      </c>
      <c r="AB5" t="s">
        <v>45</v>
      </c>
      <c r="AC5" t="s">
        <v>46</v>
      </c>
      <c r="AD5" t="s">
        <v>47</v>
      </c>
    </row>
    <row r="6" spans="1:30">
      <c r="A6" t="s">
        <v>33</v>
      </c>
      <c r="B6" t="s">
        <v>30</v>
      </c>
      <c r="C6" t="s">
        <v>167</v>
      </c>
      <c r="D6" t="s">
        <v>168</v>
      </c>
      <c r="E6" t="s">
        <v>33</v>
      </c>
      <c r="F6" t="s">
        <v>169</v>
      </c>
      <c r="G6" t="s">
        <v>33</v>
      </c>
      <c r="H6" t="s">
        <v>35</v>
      </c>
      <c r="I6" t="s">
        <v>36</v>
      </c>
      <c r="J6" t="s">
        <v>37</v>
      </c>
      <c r="K6" s="23">
        <v>46085.62838923611</v>
      </c>
      <c r="L6">
        <v>10.6900359066</v>
      </c>
      <c r="M6" t="s">
        <v>182</v>
      </c>
      <c r="N6" t="s">
        <v>39</v>
      </c>
      <c r="O6" t="s">
        <v>39</v>
      </c>
      <c r="P6">
        <v>0</v>
      </c>
      <c r="Q6">
        <v>11140</v>
      </c>
      <c r="R6">
        <v>119087</v>
      </c>
      <c r="S6" t="s">
        <v>40</v>
      </c>
      <c r="T6" t="s">
        <v>41</v>
      </c>
      <c r="U6" t="s">
        <v>33</v>
      </c>
      <c r="V6" t="s">
        <v>33</v>
      </c>
      <c r="W6" t="s">
        <v>33</v>
      </c>
      <c r="X6" t="s">
        <v>56</v>
      </c>
      <c r="Y6" t="s">
        <v>183</v>
      </c>
      <c r="Z6" t="str">
        <f>HYPERLINK("http://srvdis221.distracom.com.co/consulta5/consultalite.aspx?nombrearchivador=Contabilidad&amp;valoresbusqueda=TIPO_DOCUMENTO=RM%20AND%20CONSECUTIVO=REDW139305","REDW139305")</f>
        <v>REDW139305</v>
      </c>
      <c r="AA6" t="s">
        <v>44</v>
      </c>
      <c r="AB6" t="s">
        <v>45</v>
      </c>
      <c r="AC6" t="s">
        <v>46</v>
      </c>
      <c r="AD6" t="s">
        <v>47</v>
      </c>
    </row>
    <row r="7" spans="1:30">
      <c r="A7" t="s">
        <v>33</v>
      </c>
      <c r="B7" t="s">
        <v>30</v>
      </c>
      <c r="C7" t="s">
        <v>167</v>
      </c>
      <c r="D7" t="s">
        <v>168</v>
      </c>
      <c r="E7" t="s">
        <v>33</v>
      </c>
      <c r="F7" t="s">
        <v>169</v>
      </c>
      <c r="G7" t="s">
        <v>33</v>
      </c>
      <c r="H7" t="s">
        <v>35</v>
      </c>
      <c r="I7" t="s">
        <v>36</v>
      </c>
      <c r="J7" t="s">
        <v>37</v>
      </c>
      <c r="K7" s="23">
        <v>46090.371148148151</v>
      </c>
      <c r="L7">
        <v>8.7649910233000004</v>
      </c>
      <c r="M7" t="s">
        <v>184</v>
      </c>
      <c r="N7" t="s">
        <v>39</v>
      </c>
      <c r="O7" t="s">
        <v>39</v>
      </c>
      <c r="P7">
        <v>0</v>
      </c>
      <c r="Q7">
        <v>11140</v>
      </c>
      <c r="R7">
        <v>97642</v>
      </c>
      <c r="S7" t="s">
        <v>40</v>
      </c>
      <c r="T7" t="s">
        <v>41</v>
      </c>
      <c r="U7" t="s">
        <v>33</v>
      </c>
      <c r="V7" t="s">
        <v>33</v>
      </c>
      <c r="W7" t="s">
        <v>33</v>
      </c>
      <c r="X7" t="s">
        <v>185</v>
      </c>
      <c r="Y7" t="s">
        <v>186</v>
      </c>
      <c r="Z7" t="str">
        <f>HYPERLINK("http://srvdis221.distracom.com.co/consulta5/consultalite.aspx?nombrearchivador=Contabilidad&amp;valoresbusqueda=TIPO_DOCUMENTO=RM%20AND%20CONSECUTIVO=REDW139461","REDW139461")</f>
        <v>REDW139461</v>
      </c>
      <c r="AA7" t="s">
        <v>44</v>
      </c>
      <c r="AB7" t="s">
        <v>45</v>
      </c>
      <c r="AC7" t="s">
        <v>46</v>
      </c>
      <c r="AD7" t="s">
        <v>47</v>
      </c>
    </row>
    <row r="8" spans="1:30">
      <c r="A8" t="s">
        <v>33</v>
      </c>
      <c r="B8" t="s">
        <v>30</v>
      </c>
      <c r="C8" t="s">
        <v>167</v>
      </c>
      <c r="D8" t="s">
        <v>168</v>
      </c>
      <c r="E8" t="s">
        <v>33</v>
      </c>
      <c r="F8" t="s">
        <v>169</v>
      </c>
      <c r="G8" t="s">
        <v>33</v>
      </c>
      <c r="H8" t="s">
        <v>35</v>
      </c>
      <c r="I8" t="s">
        <v>36</v>
      </c>
      <c r="J8" t="s">
        <v>37</v>
      </c>
      <c r="K8" s="23">
        <v>46093.544075347221</v>
      </c>
      <c r="L8">
        <v>11.866965888699999</v>
      </c>
      <c r="M8" t="s">
        <v>187</v>
      </c>
      <c r="N8" t="s">
        <v>39</v>
      </c>
      <c r="O8" t="s">
        <v>39</v>
      </c>
      <c r="P8">
        <v>0</v>
      </c>
      <c r="Q8">
        <v>11140</v>
      </c>
      <c r="R8">
        <v>132198</v>
      </c>
      <c r="S8" t="s">
        <v>40</v>
      </c>
      <c r="T8" t="s">
        <v>41</v>
      </c>
      <c r="U8" t="s">
        <v>33</v>
      </c>
      <c r="V8" t="s">
        <v>33</v>
      </c>
      <c r="W8" t="s">
        <v>33</v>
      </c>
      <c r="X8" t="s">
        <v>185</v>
      </c>
      <c r="Y8" t="s">
        <v>188</v>
      </c>
      <c r="Z8" t="str">
        <f>HYPERLINK("http://srvdis221.distracom.com.co/consulta5/consultalite.aspx?nombrearchivador=Contabilidad&amp;valoresbusqueda=TIPO_DOCUMENTO=RM%20AND%20CONSECUTIVO=REDW139618","REDW139618")</f>
        <v>REDW139618</v>
      </c>
      <c r="AA8" t="s">
        <v>44</v>
      </c>
      <c r="AB8" t="s">
        <v>45</v>
      </c>
      <c r="AC8" t="s">
        <v>46</v>
      </c>
      <c r="AD8" t="s">
        <v>47</v>
      </c>
    </row>
    <row r="9" spans="1:30">
      <c r="A9" t="s">
        <v>33</v>
      </c>
      <c r="B9" t="s">
        <v>30</v>
      </c>
      <c r="C9" t="s">
        <v>63</v>
      </c>
      <c r="D9" t="s">
        <v>64</v>
      </c>
      <c r="E9" t="s">
        <v>33</v>
      </c>
      <c r="F9" t="s">
        <v>175</v>
      </c>
      <c r="G9" t="s">
        <v>33</v>
      </c>
      <c r="H9" t="s">
        <v>35</v>
      </c>
      <c r="I9" t="s">
        <v>36</v>
      </c>
      <c r="J9" t="s">
        <v>37</v>
      </c>
      <c r="K9" s="23">
        <v>46094.431132754631</v>
      </c>
      <c r="L9">
        <v>14.5429982047</v>
      </c>
      <c r="M9" t="s">
        <v>189</v>
      </c>
      <c r="N9" t="s">
        <v>39</v>
      </c>
      <c r="O9" t="s">
        <v>39</v>
      </c>
      <c r="P9">
        <v>0</v>
      </c>
      <c r="Q9">
        <v>11140</v>
      </c>
      <c r="R9">
        <v>162009</v>
      </c>
      <c r="S9" t="s">
        <v>40</v>
      </c>
      <c r="T9" t="s">
        <v>41</v>
      </c>
      <c r="U9" t="s">
        <v>33</v>
      </c>
      <c r="V9" t="s">
        <v>33</v>
      </c>
      <c r="W9" t="s">
        <v>33</v>
      </c>
      <c r="X9" t="s">
        <v>185</v>
      </c>
      <c r="Y9" t="s">
        <v>190</v>
      </c>
      <c r="Z9" t="str">
        <f>HYPERLINK("http://srvdis221.distracom.com.co/consulta5/consultalite.aspx?nombrearchivador=Contabilidad&amp;valoresbusqueda=TIPO_DOCUMENTO=RM%20AND%20CONSECUTIVO=REDW139662","REDW139662")</f>
        <v>REDW139662</v>
      </c>
      <c r="AA9" t="s">
        <v>44</v>
      </c>
      <c r="AB9" t="s">
        <v>45</v>
      </c>
      <c r="AC9" t="s">
        <v>46</v>
      </c>
      <c r="AD9" t="s">
        <v>47</v>
      </c>
    </row>
    <row r="10" spans="1:30">
      <c r="A10" t="s">
        <v>33</v>
      </c>
      <c r="B10" t="s">
        <v>30</v>
      </c>
      <c r="C10" t="s">
        <v>191</v>
      </c>
      <c r="D10" t="s">
        <v>192</v>
      </c>
      <c r="E10" t="s">
        <v>33</v>
      </c>
      <c r="F10" t="s">
        <v>193</v>
      </c>
      <c r="G10" t="s">
        <v>33</v>
      </c>
      <c r="H10" t="s">
        <v>35</v>
      </c>
      <c r="I10" t="s">
        <v>36</v>
      </c>
      <c r="J10" t="s">
        <v>37</v>
      </c>
      <c r="K10" s="23">
        <v>46094.499425462964</v>
      </c>
      <c r="L10">
        <v>6.0089766607000001</v>
      </c>
      <c r="M10" t="s">
        <v>194</v>
      </c>
      <c r="N10" t="s">
        <v>39</v>
      </c>
      <c r="O10" t="s">
        <v>39</v>
      </c>
      <c r="P10">
        <v>0</v>
      </c>
      <c r="Q10">
        <v>11140</v>
      </c>
      <c r="R10">
        <v>66940</v>
      </c>
      <c r="S10" t="s">
        <v>40</v>
      </c>
      <c r="T10" t="s">
        <v>41</v>
      </c>
      <c r="U10" t="s">
        <v>33</v>
      </c>
      <c r="V10" t="s">
        <v>33</v>
      </c>
      <c r="W10" t="s">
        <v>33</v>
      </c>
      <c r="X10" t="s">
        <v>185</v>
      </c>
      <c r="Y10" t="s">
        <v>195</v>
      </c>
      <c r="Z10" t="str">
        <f>HYPERLINK("http://srvdis221.distracom.com.co/consulta5/consultalite.aspx?nombrearchivador=Contabilidad&amp;valoresbusqueda=TIPO_DOCUMENTO=RM%20AND%20CONSECUTIVO=REDW139666","REDW139666")</f>
        <v>REDW139666</v>
      </c>
      <c r="AA10" t="s">
        <v>44</v>
      </c>
      <c r="AB10" t="s">
        <v>45</v>
      </c>
      <c r="AC10" t="s">
        <v>46</v>
      </c>
      <c r="AD10" t="s">
        <v>47</v>
      </c>
    </row>
    <row r="11" spans="1:30">
      <c r="A11" t="s">
        <v>33</v>
      </c>
      <c r="B11" t="s">
        <v>30</v>
      </c>
      <c r="C11" t="s">
        <v>117</v>
      </c>
      <c r="D11" t="s">
        <v>118</v>
      </c>
      <c r="E11" t="s">
        <v>33</v>
      </c>
      <c r="F11" t="s">
        <v>172</v>
      </c>
      <c r="G11" t="s">
        <v>33</v>
      </c>
      <c r="H11" t="s">
        <v>35</v>
      </c>
      <c r="I11" t="s">
        <v>36</v>
      </c>
      <c r="J11" t="s">
        <v>37</v>
      </c>
      <c r="K11" s="23">
        <v>46094.760596296299</v>
      </c>
      <c r="L11">
        <v>12.028994614</v>
      </c>
      <c r="M11" t="s">
        <v>196</v>
      </c>
      <c r="N11" t="s">
        <v>39</v>
      </c>
      <c r="O11" t="s">
        <v>39</v>
      </c>
      <c r="P11">
        <v>0</v>
      </c>
      <c r="Q11">
        <v>11140</v>
      </c>
      <c r="R11">
        <v>134003</v>
      </c>
      <c r="S11" t="s">
        <v>40</v>
      </c>
      <c r="T11" t="s">
        <v>41</v>
      </c>
      <c r="U11" t="s">
        <v>33</v>
      </c>
      <c r="V11" t="s">
        <v>33</v>
      </c>
      <c r="W11" t="s">
        <v>33</v>
      </c>
      <c r="X11" t="s">
        <v>177</v>
      </c>
      <c r="Y11" t="s">
        <v>197</v>
      </c>
      <c r="Z11" t="str">
        <f>HYPERLINK("http://srvdis221.distracom.com.co/consulta5/consultalite.aspx?nombrearchivador=Contabilidad&amp;valoresbusqueda=TIPO_DOCUMENTO=RM%20AND%20CONSECUTIVO=REDW139675","REDW139675")</f>
        <v>REDW139675</v>
      </c>
      <c r="AA11" t="s">
        <v>44</v>
      </c>
      <c r="AB11" t="s">
        <v>45</v>
      </c>
      <c r="AC11" t="s">
        <v>46</v>
      </c>
      <c r="AD11" t="s">
        <v>47</v>
      </c>
    </row>
    <row r="12" spans="1:30">
      <c r="A12" t="s">
        <v>33</v>
      </c>
      <c r="B12" t="s">
        <v>30</v>
      </c>
      <c r="C12" t="s">
        <v>167</v>
      </c>
      <c r="D12" t="s">
        <v>168</v>
      </c>
      <c r="E12" t="s">
        <v>33</v>
      </c>
      <c r="F12" t="s">
        <v>169</v>
      </c>
      <c r="G12" t="s">
        <v>33</v>
      </c>
      <c r="H12" t="s">
        <v>35</v>
      </c>
      <c r="I12" t="s">
        <v>36</v>
      </c>
      <c r="J12" t="s">
        <v>37</v>
      </c>
      <c r="K12" s="23">
        <v>46099.302312500004</v>
      </c>
      <c r="L12">
        <v>12.6060143627</v>
      </c>
      <c r="M12" t="s">
        <v>198</v>
      </c>
      <c r="N12" t="s">
        <v>39</v>
      </c>
      <c r="O12" t="s">
        <v>39</v>
      </c>
      <c r="P12">
        <v>0</v>
      </c>
      <c r="Q12">
        <v>11140</v>
      </c>
      <c r="R12">
        <v>140431</v>
      </c>
      <c r="S12" t="s">
        <v>40</v>
      </c>
      <c r="T12" t="s">
        <v>41</v>
      </c>
      <c r="U12" t="s">
        <v>33</v>
      </c>
      <c r="V12" t="s">
        <v>33</v>
      </c>
      <c r="W12" t="s">
        <v>33</v>
      </c>
      <c r="X12" t="s">
        <v>199</v>
      </c>
      <c r="Y12" t="s">
        <v>200</v>
      </c>
      <c r="Z12" t="str">
        <f>HYPERLINK("http://srvdis221.distracom.com.co/consulta5/consultalite.aspx?nombrearchivador=Contabilidad&amp;valoresbusqueda=TIPO_DOCUMENTO=RM%20AND%20CONSECUTIVO=REDW139814","REDW139814")</f>
        <v>REDW139814</v>
      </c>
      <c r="AA12" t="s">
        <v>44</v>
      </c>
      <c r="AB12" t="s">
        <v>45</v>
      </c>
      <c r="AC12" t="s">
        <v>46</v>
      </c>
      <c r="AD12" t="s">
        <v>47</v>
      </c>
    </row>
    <row r="13" spans="1:30">
      <c r="A13" t="s">
        <v>33</v>
      </c>
      <c r="B13" t="s">
        <v>30</v>
      </c>
      <c r="C13" t="s">
        <v>167</v>
      </c>
      <c r="D13" t="s">
        <v>168</v>
      </c>
      <c r="E13" t="s">
        <v>33</v>
      </c>
      <c r="F13" t="s">
        <v>169</v>
      </c>
      <c r="G13" t="s">
        <v>33</v>
      </c>
      <c r="H13" t="s">
        <v>35</v>
      </c>
      <c r="I13" t="s">
        <v>36</v>
      </c>
      <c r="J13" t="s">
        <v>37</v>
      </c>
      <c r="K13" s="23">
        <v>46101.303736574075</v>
      </c>
      <c r="L13">
        <v>8.1630161579999996</v>
      </c>
      <c r="M13" t="s">
        <v>201</v>
      </c>
      <c r="N13" t="s">
        <v>39</v>
      </c>
      <c r="O13" t="s">
        <v>39</v>
      </c>
      <c r="P13">
        <v>0</v>
      </c>
      <c r="Q13">
        <v>11140</v>
      </c>
      <c r="R13">
        <v>90936</v>
      </c>
      <c r="S13" t="s">
        <v>40</v>
      </c>
      <c r="T13" t="s">
        <v>41</v>
      </c>
      <c r="U13" t="s">
        <v>33</v>
      </c>
      <c r="V13" t="s">
        <v>33</v>
      </c>
      <c r="W13" t="s">
        <v>33</v>
      </c>
      <c r="X13" t="s">
        <v>199</v>
      </c>
      <c r="Y13" t="s">
        <v>202</v>
      </c>
      <c r="Z13" t="str">
        <f>HYPERLINK("http://srvdis221.distracom.com.co/consulta5/consultalite.aspx?nombrearchivador=Contabilidad&amp;valoresbusqueda=TIPO_DOCUMENTO=RM%20AND%20CONSECUTIVO=REDW139910","REDW139910")</f>
        <v>REDW139910</v>
      </c>
      <c r="AA13" t="s">
        <v>44</v>
      </c>
      <c r="AB13" t="s">
        <v>45</v>
      </c>
      <c r="AC13" t="s">
        <v>46</v>
      </c>
      <c r="AD13" t="s">
        <v>47</v>
      </c>
    </row>
    <row r="14" spans="1:30">
      <c r="A14" t="s">
        <v>33</v>
      </c>
      <c r="B14" t="s">
        <v>30</v>
      </c>
      <c r="C14" t="s">
        <v>63</v>
      </c>
      <c r="D14" t="s">
        <v>64</v>
      </c>
      <c r="E14" t="s">
        <v>33</v>
      </c>
      <c r="F14" t="s">
        <v>175</v>
      </c>
      <c r="G14" t="s">
        <v>33</v>
      </c>
      <c r="H14" t="s">
        <v>35</v>
      </c>
      <c r="I14" t="s">
        <v>36</v>
      </c>
      <c r="J14" t="s">
        <v>37</v>
      </c>
      <c r="K14" s="23">
        <v>46101.510779861113</v>
      </c>
      <c r="L14">
        <v>12.5140035907</v>
      </c>
      <c r="M14" t="s">
        <v>203</v>
      </c>
      <c r="N14" t="s">
        <v>39</v>
      </c>
      <c r="O14" t="s">
        <v>39</v>
      </c>
      <c r="P14">
        <v>0</v>
      </c>
      <c r="Q14">
        <v>11140</v>
      </c>
      <c r="R14">
        <v>139406</v>
      </c>
      <c r="S14" t="s">
        <v>40</v>
      </c>
      <c r="T14" t="s">
        <v>41</v>
      </c>
      <c r="U14" t="s">
        <v>33</v>
      </c>
      <c r="V14" t="s">
        <v>33</v>
      </c>
      <c r="W14" t="s">
        <v>33</v>
      </c>
      <c r="X14" t="s">
        <v>199</v>
      </c>
      <c r="Y14" t="s">
        <v>204</v>
      </c>
      <c r="Z14" t="str">
        <f>HYPERLINK("http://srvdis221.distracom.com.co/consulta5/consultalite.aspx?nombrearchivador=Contabilidad&amp;valoresbusqueda=TIPO_DOCUMENTO=RM%20AND%20CONSECUTIVO=REDW139942","REDW139942")</f>
        <v>REDW139942</v>
      </c>
      <c r="AA14" t="s">
        <v>44</v>
      </c>
      <c r="AB14" t="s">
        <v>45</v>
      </c>
      <c r="AC14" t="s">
        <v>46</v>
      </c>
      <c r="AD14" t="s">
        <v>47</v>
      </c>
    </row>
    <row r="15" spans="1:30">
      <c r="A15" t="s">
        <v>33</v>
      </c>
      <c r="B15" t="s">
        <v>30</v>
      </c>
      <c r="C15" t="s">
        <v>167</v>
      </c>
      <c r="D15" t="s">
        <v>168</v>
      </c>
      <c r="E15" t="s">
        <v>33</v>
      </c>
      <c r="F15" t="s">
        <v>169</v>
      </c>
      <c r="G15" t="s">
        <v>33</v>
      </c>
      <c r="H15" t="s">
        <v>35</v>
      </c>
      <c r="I15" t="s">
        <v>36</v>
      </c>
      <c r="J15" t="s">
        <v>37</v>
      </c>
      <c r="K15" s="23">
        <v>46107.391962731483</v>
      </c>
      <c r="L15">
        <v>10.975044883300001</v>
      </c>
      <c r="M15" t="s">
        <v>205</v>
      </c>
      <c r="N15" t="s">
        <v>39</v>
      </c>
      <c r="O15" t="s">
        <v>39</v>
      </c>
      <c r="P15">
        <v>0</v>
      </c>
      <c r="Q15">
        <v>11140</v>
      </c>
      <c r="R15">
        <v>122262</v>
      </c>
      <c r="S15" t="s">
        <v>40</v>
      </c>
      <c r="T15" t="s">
        <v>41</v>
      </c>
      <c r="U15" t="s">
        <v>33</v>
      </c>
      <c r="V15" t="s">
        <v>33</v>
      </c>
      <c r="W15" t="s">
        <v>33</v>
      </c>
      <c r="X15" t="s">
        <v>177</v>
      </c>
      <c r="Y15" t="s">
        <v>206</v>
      </c>
      <c r="Z15" t="str">
        <f>HYPERLINK("http://srvdis221.distracom.com.co/consulta5/consultalite.aspx?nombrearchivador=Contabilidad&amp;valoresbusqueda=TIPO_DOCUMENTO=RM%20AND%20CONSECUTIVO=REDW140134","REDW140134")</f>
        <v>REDW140134</v>
      </c>
      <c r="AA15" t="s">
        <v>44</v>
      </c>
      <c r="AB15" t="s">
        <v>45</v>
      </c>
      <c r="AC15" t="s">
        <v>46</v>
      </c>
      <c r="AD15" t="s">
        <v>47</v>
      </c>
    </row>
    <row r="16" spans="1:30">
      <c r="A16" t="s">
        <v>33</v>
      </c>
      <c r="B16" t="s">
        <v>30</v>
      </c>
      <c r="C16" t="s">
        <v>191</v>
      </c>
      <c r="D16" t="s">
        <v>192</v>
      </c>
      <c r="E16" t="s">
        <v>33</v>
      </c>
      <c r="F16" t="s">
        <v>193</v>
      </c>
      <c r="G16" t="s">
        <v>33</v>
      </c>
      <c r="H16" t="s">
        <v>35</v>
      </c>
      <c r="I16" t="s">
        <v>36</v>
      </c>
      <c r="J16" t="s">
        <v>37</v>
      </c>
      <c r="K16" s="23">
        <v>46108.441047222223</v>
      </c>
      <c r="L16">
        <v>31.421005386000001</v>
      </c>
      <c r="M16" t="s">
        <v>207</v>
      </c>
      <c r="N16" t="s">
        <v>39</v>
      </c>
      <c r="O16" t="s">
        <v>39</v>
      </c>
      <c r="P16">
        <v>0</v>
      </c>
      <c r="Q16">
        <v>11140</v>
      </c>
      <c r="R16">
        <v>350030</v>
      </c>
      <c r="S16" t="s">
        <v>40</v>
      </c>
      <c r="T16" t="s">
        <v>41</v>
      </c>
      <c r="U16" t="s">
        <v>33</v>
      </c>
      <c r="V16" t="s">
        <v>33</v>
      </c>
      <c r="W16" t="s">
        <v>33</v>
      </c>
      <c r="X16" t="s">
        <v>208</v>
      </c>
      <c r="Y16" t="s">
        <v>209</v>
      </c>
      <c r="Z16" t="str">
        <f>HYPERLINK("http://srvdis221.distracom.com.co/consulta5/consultalite.aspx?nombrearchivador=Contabilidad&amp;valoresbusqueda=TIPO_DOCUMENTO=RM%20AND%20CONSECUTIVO=REDW140180","REDW140180")</f>
        <v>REDW140180</v>
      </c>
      <c r="AA16" t="s">
        <v>44</v>
      </c>
      <c r="AB16" t="s">
        <v>45</v>
      </c>
      <c r="AC16" t="s">
        <v>46</v>
      </c>
      <c r="AD16" t="s">
        <v>47</v>
      </c>
    </row>
    <row r="17" spans="1:34" hidden="1">
      <c r="A17" s="20"/>
      <c r="B17" s="20"/>
      <c r="C17" s="20"/>
      <c r="D17" s="20"/>
      <c r="E17" s="20"/>
      <c r="F17" s="20"/>
      <c r="G17" s="20"/>
      <c r="H17" s="20"/>
      <c r="I17" s="20"/>
      <c r="J17" s="47" t="s">
        <v>162</v>
      </c>
      <c r="K17" s="54"/>
      <c r="L17" s="21">
        <v>199.61705565529999</v>
      </c>
      <c r="M17" s="20" t="s">
        <v>163</v>
      </c>
      <c r="N17" s="48" t="s">
        <v>164</v>
      </c>
      <c r="O17" s="54"/>
      <c r="P17" s="54"/>
      <c r="Q17" s="54"/>
      <c r="R17" s="48" t="s">
        <v>210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spans="1:34" hidden="1">
      <c r="N18" s="54"/>
      <c r="O18" s="54"/>
      <c r="P18" s="54"/>
      <c r="Q18" s="54"/>
      <c r="R18" s="54"/>
    </row>
    <row r="19" spans="1:34" hidden="1">
      <c r="N19" s="54"/>
      <c r="O19" s="54"/>
      <c r="P19" s="54"/>
      <c r="Q19" s="54"/>
      <c r="R19" s="54"/>
    </row>
  </sheetData>
  <autoFilter ref="A1:AC19" xr:uid="{00000000-0001-0000-0000-000000000000}">
    <filterColumn colId="10">
      <filters>
        <dateGroupItem year="2026" dateTimeGrouping="year"/>
      </filters>
    </filterColumn>
  </autoFilter>
  <mergeCells count="3">
    <mergeCell ref="J17:K17"/>
    <mergeCell ref="N17:Q19"/>
    <mergeCell ref="R17:R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280A-4DFE-4852-9447-9F9CD427B520}">
  <dimension ref="B2:H39"/>
  <sheetViews>
    <sheetView topLeftCell="A23" zoomScale="92" zoomScaleNormal="70" workbookViewId="0">
      <selection activeCell="B2" sqref="B2:G39"/>
    </sheetView>
  </sheetViews>
  <sheetFormatPr defaultColWidth="11.42578125" defaultRowHeight="15"/>
  <cols>
    <col min="2" max="2" width="18.140625" customWidth="1"/>
    <col min="3" max="3" width="13.42578125" customWidth="1"/>
    <col min="4" max="5" width="18.140625" customWidth="1"/>
    <col min="6" max="6" width="26" customWidth="1"/>
    <col min="7" max="7" width="24" customWidth="1"/>
    <col min="8" max="9" width="13.5703125" customWidth="1"/>
    <col min="10" max="11" width="15.85546875" customWidth="1"/>
    <col min="12" max="12" width="17.28515625" customWidth="1"/>
    <col min="13" max="14" width="14.7109375" customWidth="1"/>
    <col min="16" max="16" width="14.140625" customWidth="1"/>
    <col min="19" max="19" width="15.140625" customWidth="1"/>
    <col min="20" max="20" width="15.42578125" customWidth="1"/>
    <col min="23" max="23" width="15.140625" customWidth="1"/>
  </cols>
  <sheetData>
    <row r="2" spans="2:8" ht="39.75" customHeight="1">
      <c r="B2" s="33" t="s">
        <v>211</v>
      </c>
      <c r="C2" s="33"/>
      <c r="D2" s="33"/>
      <c r="E2" s="33"/>
      <c r="F2" s="33"/>
      <c r="G2" s="33"/>
    </row>
    <row r="3" spans="2:8" ht="30">
      <c r="B3" s="4" t="s">
        <v>212</v>
      </c>
      <c r="C3" s="5" t="s">
        <v>213</v>
      </c>
      <c r="D3" s="6" t="s">
        <v>214</v>
      </c>
      <c r="E3" s="5" t="s">
        <v>215</v>
      </c>
      <c r="F3" s="4" t="s">
        <v>216</v>
      </c>
      <c r="G3" s="4" t="s">
        <v>217</v>
      </c>
    </row>
    <row r="4" spans="2:8" ht="21.75" customHeight="1">
      <c r="B4" s="7" t="s">
        <v>218</v>
      </c>
      <c r="C4" s="7">
        <v>0</v>
      </c>
      <c r="D4" s="7">
        <v>0</v>
      </c>
      <c r="E4" s="7">
        <v>0</v>
      </c>
      <c r="F4" s="8">
        <v>0</v>
      </c>
      <c r="G4" s="9">
        <v>0</v>
      </c>
    </row>
    <row r="5" spans="2:8" ht="21.75" customHeight="1">
      <c r="B5" s="27" t="s">
        <v>219</v>
      </c>
      <c r="C5" s="10" t="s">
        <v>117</v>
      </c>
      <c r="D5" s="7">
        <v>18.059999999999999</v>
      </c>
      <c r="E5" s="25">
        <v>201222</v>
      </c>
      <c r="F5" s="35">
        <f>SUM(D5:D7)</f>
        <v>42.65</v>
      </c>
      <c r="G5" s="38">
        <f>SUM(E5:E7)</f>
        <v>475244</v>
      </c>
    </row>
    <row r="6" spans="2:8" ht="21.75" customHeight="1">
      <c r="B6" s="28"/>
      <c r="C6" s="10" t="s">
        <v>31</v>
      </c>
      <c r="D6" s="7">
        <v>10.34</v>
      </c>
      <c r="E6" s="25">
        <v>115199</v>
      </c>
      <c r="F6" s="36"/>
      <c r="G6" s="39"/>
      <c r="H6" s="53">
        <f>SUM(G5/42.65)</f>
        <v>11142.883939038687</v>
      </c>
    </row>
    <row r="7" spans="2:8" ht="21.75" customHeight="1">
      <c r="B7" s="34"/>
      <c r="C7" s="10" t="s">
        <v>167</v>
      </c>
      <c r="D7" s="7">
        <v>14.25</v>
      </c>
      <c r="E7" s="25">
        <v>158823</v>
      </c>
      <c r="F7" s="37"/>
      <c r="G7" s="40"/>
    </row>
    <row r="8" spans="2:8" ht="21.75" customHeight="1">
      <c r="B8" s="27" t="s">
        <v>220</v>
      </c>
      <c r="C8" s="8" t="s">
        <v>221</v>
      </c>
      <c r="D8" s="7">
        <v>12</v>
      </c>
      <c r="E8" s="25">
        <v>134003</v>
      </c>
      <c r="F8" s="41">
        <f>SUM(D8:D10)</f>
        <v>70.75</v>
      </c>
      <c r="G8" s="38">
        <f>SUM(E8:E10)</f>
        <v>789047</v>
      </c>
    </row>
    <row r="9" spans="2:8" ht="21.75" customHeight="1">
      <c r="B9" s="28"/>
      <c r="C9" s="10" t="s">
        <v>167</v>
      </c>
      <c r="D9" s="7">
        <v>31.7</v>
      </c>
      <c r="E9" s="25">
        <v>353629</v>
      </c>
      <c r="F9" s="42"/>
      <c r="G9" s="39"/>
    </row>
    <row r="10" spans="2:8" ht="21.75" customHeight="1">
      <c r="B10" s="28"/>
      <c r="C10" s="10" t="s">
        <v>63</v>
      </c>
      <c r="D10" s="7">
        <v>27.05</v>
      </c>
      <c r="E10" s="25">
        <v>301415</v>
      </c>
      <c r="F10" s="43"/>
      <c r="G10" s="40"/>
    </row>
    <row r="11" spans="2:8" ht="21.75" customHeight="1">
      <c r="B11" s="27" t="s">
        <v>222</v>
      </c>
      <c r="C11" s="8" t="s">
        <v>117</v>
      </c>
      <c r="D11" s="7">
        <v>0</v>
      </c>
      <c r="E11" s="25">
        <v>0</v>
      </c>
      <c r="F11" s="29">
        <f>SUM(D11:D14)</f>
        <v>0</v>
      </c>
      <c r="G11" s="31">
        <f>SUM(E11:E14)</f>
        <v>0</v>
      </c>
    </row>
    <row r="12" spans="2:8" ht="21.75" customHeight="1">
      <c r="B12" s="28"/>
      <c r="C12" s="10" t="s">
        <v>31</v>
      </c>
      <c r="D12" s="7">
        <v>0</v>
      </c>
      <c r="E12" s="25">
        <v>0</v>
      </c>
      <c r="F12" s="30"/>
      <c r="G12" s="32"/>
    </row>
    <row r="13" spans="2:8" ht="21.75" customHeight="1">
      <c r="B13" s="28"/>
      <c r="C13" s="10" t="s">
        <v>63</v>
      </c>
      <c r="D13" s="7">
        <v>0</v>
      </c>
      <c r="E13" s="25">
        <v>0</v>
      </c>
      <c r="F13" s="30"/>
      <c r="G13" s="32"/>
    </row>
    <row r="14" spans="2:8" ht="21.75" customHeight="1">
      <c r="B14" s="34"/>
      <c r="C14" s="10" t="s">
        <v>108</v>
      </c>
      <c r="D14" s="7">
        <v>0</v>
      </c>
      <c r="E14" s="25">
        <v>0</v>
      </c>
      <c r="F14" s="44"/>
      <c r="G14" s="45"/>
    </row>
    <row r="15" spans="2:8" ht="21.75" customHeight="1">
      <c r="B15" s="27" t="s">
        <v>223</v>
      </c>
      <c r="C15" s="8" t="s">
        <v>117</v>
      </c>
      <c r="D15" s="7">
        <v>0</v>
      </c>
      <c r="E15" s="25">
        <v>0</v>
      </c>
      <c r="F15" s="29">
        <f>SUM(D15:D17)</f>
        <v>0</v>
      </c>
      <c r="G15" s="31">
        <f>SUM(E15:E17)</f>
        <v>0</v>
      </c>
    </row>
    <row r="16" spans="2:8" ht="21.75" customHeight="1">
      <c r="B16" s="28"/>
      <c r="C16" s="10" t="s">
        <v>31</v>
      </c>
      <c r="D16" s="7">
        <v>0</v>
      </c>
      <c r="E16" s="25">
        <v>0</v>
      </c>
      <c r="F16" s="30"/>
      <c r="G16" s="32"/>
    </row>
    <row r="17" spans="2:7" ht="21.75" customHeight="1">
      <c r="B17" s="28"/>
      <c r="C17" s="10" t="s">
        <v>63</v>
      </c>
      <c r="D17" s="7">
        <v>0</v>
      </c>
      <c r="E17" s="25">
        <v>0</v>
      </c>
      <c r="F17" s="30"/>
      <c r="G17" s="32"/>
    </row>
    <row r="18" spans="2:7" ht="21.75" customHeight="1">
      <c r="B18" s="27" t="s">
        <v>224</v>
      </c>
      <c r="C18" s="8" t="s">
        <v>117</v>
      </c>
      <c r="D18" s="7">
        <v>0</v>
      </c>
      <c r="E18" s="25">
        <v>0</v>
      </c>
      <c r="F18" s="29">
        <f>SUM(D18:D20)</f>
        <v>0</v>
      </c>
      <c r="G18" s="31">
        <f>SUM(E18:E20)</f>
        <v>0</v>
      </c>
    </row>
    <row r="19" spans="2:7" ht="21.75" customHeight="1">
      <c r="B19" s="28"/>
      <c r="C19" s="10" t="s">
        <v>31</v>
      </c>
      <c r="D19" s="7">
        <v>0</v>
      </c>
      <c r="E19" s="25">
        <v>0</v>
      </c>
      <c r="F19" s="30"/>
      <c r="G19" s="32"/>
    </row>
    <row r="20" spans="2:7" ht="21.75" customHeight="1">
      <c r="B20" s="34"/>
      <c r="C20" s="10" t="s">
        <v>63</v>
      </c>
      <c r="D20" s="7">
        <v>0</v>
      </c>
      <c r="E20" s="25">
        <v>0</v>
      </c>
      <c r="F20" s="30"/>
      <c r="G20" s="32"/>
    </row>
    <row r="21" spans="2:7" ht="21.75" customHeight="1">
      <c r="B21" s="27" t="s">
        <v>225</v>
      </c>
      <c r="C21" s="8" t="s">
        <v>117</v>
      </c>
      <c r="D21" s="7">
        <v>0</v>
      </c>
      <c r="E21" s="25">
        <v>0</v>
      </c>
      <c r="F21" s="29">
        <f>SUM(D21:D23)</f>
        <v>0</v>
      </c>
      <c r="G21" s="31">
        <f>SUM(E21:E23)</f>
        <v>0</v>
      </c>
    </row>
    <row r="22" spans="2:7" ht="21.75" customHeight="1">
      <c r="B22" s="28"/>
      <c r="C22" s="10" t="s">
        <v>31</v>
      </c>
      <c r="D22" s="7">
        <v>0</v>
      </c>
      <c r="E22" s="25">
        <v>0</v>
      </c>
      <c r="F22" s="30"/>
      <c r="G22" s="32"/>
    </row>
    <row r="23" spans="2:7" ht="21.75" customHeight="1">
      <c r="B23" s="34"/>
      <c r="C23" s="10" t="s">
        <v>63</v>
      </c>
      <c r="D23" s="7">
        <v>0</v>
      </c>
      <c r="E23" s="25">
        <v>0</v>
      </c>
      <c r="F23" s="30"/>
      <c r="G23" s="32"/>
    </row>
    <row r="24" spans="2:7" ht="21.75" customHeight="1">
      <c r="B24" s="27" t="s">
        <v>226</v>
      </c>
      <c r="C24" s="8" t="s">
        <v>117</v>
      </c>
      <c r="D24" s="7">
        <v>0</v>
      </c>
      <c r="E24" s="25">
        <v>0</v>
      </c>
      <c r="F24" s="29">
        <f>SUM(D24:D26)</f>
        <v>0</v>
      </c>
      <c r="G24" s="31">
        <f>SUM(E24:E26)</f>
        <v>0</v>
      </c>
    </row>
    <row r="25" spans="2:7" ht="21.75" customHeight="1">
      <c r="B25" s="28"/>
      <c r="C25" s="10" t="s">
        <v>227</v>
      </c>
      <c r="D25" s="7">
        <v>0</v>
      </c>
      <c r="E25" s="25">
        <v>0</v>
      </c>
      <c r="F25" s="30"/>
      <c r="G25" s="32"/>
    </row>
    <row r="26" spans="2:7" ht="21.75" customHeight="1">
      <c r="B26" s="34"/>
      <c r="C26" s="10" t="s">
        <v>63</v>
      </c>
      <c r="D26" s="7">
        <v>0</v>
      </c>
      <c r="E26" s="25">
        <v>0</v>
      </c>
      <c r="F26" s="30"/>
      <c r="G26" s="32"/>
    </row>
    <row r="27" spans="2:7" ht="21.75" customHeight="1">
      <c r="B27" s="27" t="s">
        <v>228</v>
      </c>
      <c r="C27" s="8" t="s">
        <v>117</v>
      </c>
      <c r="D27" s="7">
        <v>0</v>
      </c>
      <c r="E27" s="25">
        <v>0</v>
      </c>
      <c r="F27" s="29">
        <f>SUM(D27:D29)</f>
        <v>0</v>
      </c>
      <c r="G27" s="31">
        <f>SUM(E27:E29)</f>
        <v>0</v>
      </c>
    </row>
    <row r="28" spans="2:7" ht="21.75" customHeight="1">
      <c r="B28" s="28"/>
      <c r="C28" s="10" t="s">
        <v>31</v>
      </c>
      <c r="D28" s="7">
        <v>0</v>
      </c>
      <c r="E28" s="25">
        <v>0</v>
      </c>
      <c r="F28" s="30"/>
      <c r="G28" s="32"/>
    </row>
    <row r="29" spans="2:7" ht="21.75" customHeight="1">
      <c r="B29" s="34"/>
      <c r="C29" s="10" t="s">
        <v>63</v>
      </c>
      <c r="D29" s="7">
        <v>0</v>
      </c>
      <c r="E29" s="25">
        <v>0</v>
      </c>
      <c r="F29" s="30"/>
      <c r="G29" s="32"/>
    </row>
    <row r="30" spans="2:7" ht="21.75" customHeight="1">
      <c r="B30" s="27" t="s">
        <v>229</v>
      </c>
      <c r="C30" s="8" t="s">
        <v>117</v>
      </c>
      <c r="D30" s="7">
        <v>0</v>
      </c>
      <c r="E30" s="25">
        <v>0</v>
      </c>
      <c r="F30" s="29">
        <f>SUM(D30:D32)</f>
        <v>0</v>
      </c>
      <c r="G30" s="31">
        <f>SUM(E30:E32)</f>
        <v>0</v>
      </c>
    </row>
    <row r="31" spans="2:7" ht="21.75" customHeight="1">
      <c r="B31" s="28"/>
      <c r="C31" s="10" t="s">
        <v>31</v>
      </c>
      <c r="D31" s="7">
        <v>0</v>
      </c>
      <c r="E31" s="25">
        <v>0</v>
      </c>
      <c r="F31" s="30"/>
      <c r="G31" s="32"/>
    </row>
    <row r="32" spans="2:7" ht="21.75" customHeight="1">
      <c r="B32" s="34"/>
      <c r="C32" s="10" t="s">
        <v>63</v>
      </c>
      <c r="D32" s="7">
        <v>0</v>
      </c>
      <c r="E32" s="25">
        <v>0</v>
      </c>
      <c r="F32" s="30"/>
      <c r="G32" s="32"/>
    </row>
    <row r="33" spans="2:7" ht="21.75" customHeight="1">
      <c r="B33" s="27" t="s">
        <v>230</v>
      </c>
      <c r="C33" s="8" t="s">
        <v>117</v>
      </c>
      <c r="D33" s="7">
        <v>0</v>
      </c>
      <c r="E33" s="25">
        <v>0</v>
      </c>
      <c r="F33" s="29">
        <f>SUM(D33:D35)</f>
        <v>0</v>
      </c>
      <c r="G33" s="31">
        <f>SUM(E33:E35)</f>
        <v>0</v>
      </c>
    </row>
    <row r="34" spans="2:7" ht="21.75" customHeight="1">
      <c r="B34" s="28"/>
      <c r="C34" s="10" t="s">
        <v>31</v>
      </c>
      <c r="D34" s="7">
        <v>0</v>
      </c>
      <c r="E34" s="25">
        <v>0</v>
      </c>
      <c r="F34" s="30"/>
      <c r="G34" s="32"/>
    </row>
    <row r="35" spans="2:7" ht="21.75" customHeight="1">
      <c r="B35" s="34"/>
      <c r="C35" s="10" t="s">
        <v>63</v>
      </c>
      <c r="D35" s="7">
        <v>0</v>
      </c>
      <c r="E35" s="25">
        <v>0</v>
      </c>
      <c r="F35" s="30"/>
      <c r="G35" s="32"/>
    </row>
    <row r="36" spans="2:7" ht="21.75" customHeight="1">
      <c r="B36" s="27" t="s">
        <v>231</v>
      </c>
      <c r="C36" s="8"/>
      <c r="D36" s="14"/>
      <c r="E36" s="26"/>
      <c r="F36" s="29"/>
      <c r="G36" s="31"/>
    </row>
    <row r="37" spans="2:7" ht="21.75" customHeight="1">
      <c r="B37" s="28"/>
      <c r="C37" s="10"/>
      <c r="D37" s="14"/>
      <c r="E37" s="13"/>
      <c r="F37" s="30"/>
      <c r="G37" s="32"/>
    </row>
    <row r="38" spans="2:7" ht="21.75" customHeight="1">
      <c r="B38" s="34"/>
      <c r="C38" s="10"/>
      <c r="D38" s="14"/>
      <c r="E38" s="13"/>
      <c r="F38" s="30"/>
      <c r="G38" s="32"/>
    </row>
    <row r="39" spans="2:7">
      <c r="B39" s="4" t="s">
        <v>232</v>
      </c>
      <c r="C39" s="4"/>
      <c r="D39" s="4"/>
      <c r="E39" s="4"/>
      <c r="F39" s="15">
        <f>SUM(F4:F38)</f>
        <v>113.4</v>
      </c>
      <c r="G39" s="16">
        <f>SUM(G4:G38)</f>
        <v>1264291</v>
      </c>
    </row>
  </sheetData>
  <mergeCells count="34">
    <mergeCell ref="B36:B38"/>
    <mergeCell ref="F36:F38"/>
    <mergeCell ref="G36:G38"/>
    <mergeCell ref="B11:B14"/>
    <mergeCell ref="F11:F14"/>
    <mergeCell ref="G11:G14"/>
    <mergeCell ref="B30:B32"/>
    <mergeCell ref="F30:F32"/>
    <mergeCell ref="G30:G32"/>
    <mergeCell ref="B33:B35"/>
    <mergeCell ref="F33:F35"/>
    <mergeCell ref="G33:G35"/>
    <mergeCell ref="B24:B26"/>
    <mergeCell ref="F24:F26"/>
    <mergeCell ref="G24:G26"/>
    <mergeCell ref="B27:B29"/>
    <mergeCell ref="F27:F29"/>
    <mergeCell ref="G27:G29"/>
    <mergeCell ref="B18:B20"/>
    <mergeCell ref="F18:F20"/>
    <mergeCell ref="G18:G20"/>
    <mergeCell ref="B21:B23"/>
    <mergeCell ref="F21:F23"/>
    <mergeCell ref="G21:G23"/>
    <mergeCell ref="B15:B17"/>
    <mergeCell ref="F15:F17"/>
    <mergeCell ref="G15:G17"/>
    <mergeCell ref="B2:G2"/>
    <mergeCell ref="B5:B7"/>
    <mergeCell ref="F5:F7"/>
    <mergeCell ref="G5:G7"/>
    <mergeCell ref="B8:B10"/>
    <mergeCell ref="F8:F10"/>
    <mergeCell ref="G8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7EFF-A06D-4761-927E-1BD430BD7A18}">
  <dimension ref="B2:G17"/>
  <sheetViews>
    <sheetView tabSelected="1" zoomScale="80" zoomScaleNormal="80" workbookViewId="0">
      <selection activeCell="B2" sqref="B2:G17"/>
    </sheetView>
  </sheetViews>
  <sheetFormatPr defaultColWidth="11.42578125" defaultRowHeight="15"/>
  <cols>
    <col min="2" max="2" width="18.140625" customWidth="1"/>
    <col min="3" max="3" width="13.42578125" customWidth="1"/>
    <col min="4" max="5" width="18.140625" customWidth="1"/>
    <col min="6" max="6" width="26" customWidth="1"/>
    <col min="7" max="7" width="24" customWidth="1"/>
    <col min="8" max="9" width="13.5703125" customWidth="1"/>
    <col min="10" max="11" width="15.85546875" customWidth="1"/>
    <col min="12" max="12" width="17.28515625" customWidth="1"/>
    <col min="13" max="14" width="14.7109375" customWidth="1"/>
    <col min="16" max="16" width="14.140625" customWidth="1"/>
    <col min="19" max="19" width="15.140625" customWidth="1"/>
    <col min="20" max="20" width="15.42578125" customWidth="1"/>
    <col min="23" max="23" width="15.140625" customWidth="1"/>
  </cols>
  <sheetData>
    <row r="2" spans="2:7" ht="39.75" customHeight="1">
      <c r="B2" s="49" t="s">
        <v>233</v>
      </c>
      <c r="C2" s="49"/>
      <c r="D2" s="49"/>
      <c r="E2" s="49"/>
      <c r="F2" s="49"/>
      <c r="G2" s="49"/>
    </row>
    <row r="3" spans="2:7" ht="30">
      <c r="B3" s="17" t="s">
        <v>212</v>
      </c>
      <c r="C3" s="18" t="s">
        <v>213</v>
      </c>
      <c r="D3" s="19" t="s">
        <v>214</v>
      </c>
      <c r="E3" s="18" t="s">
        <v>215</v>
      </c>
      <c r="F3" s="17" t="s">
        <v>216</v>
      </c>
      <c r="G3" s="17" t="s">
        <v>217</v>
      </c>
    </row>
    <row r="4" spans="2:7" ht="21.75" customHeight="1">
      <c r="B4" s="7" t="s">
        <v>218</v>
      </c>
      <c r="C4" s="10" t="s">
        <v>108</v>
      </c>
      <c r="D4" s="50" t="s">
        <v>234</v>
      </c>
      <c r="E4" s="51"/>
      <c r="F4" s="51"/>
      <c r="G4" s="52"/>
    </row>
    <row r="5" spans="2:7" ht="21.75" customHeight="1">
      <c r="B5" s="7" t="s">
        <v>219</v>
      </c>
      <c r="C5" s="10" t="s">
        <v>108</v>
      </c>
      <c r="D5" s="50" t="s">
        <v>234</v>
      </c>
      <c r="E5" s="51"/>
      <c r="F5" s="51"/>
      <c r="G5" s="52"/>
    </row>
    <row r="6" spans="2:7" ht="21.75" customHeight="1">
      <c r="B6" s="7" t="s">
        <v>220</v>
      </c>
      <c r="C6" s="10" t="s">
        <v>108</v>
      </c>
      <c r="D6" s="50" t="s">
        <v>234</v>
      </c>
      <c r="E6" s="51"/>
      <c r="F6" s="51"/>
      <c r="G6" s="52"/>
    </row>
    <row r="7" spans="2:7" ht="21.75" customHeight="1">
      <c r="B7" s="7" t="s">
        <v>222</v>
      </c>
      <c r="C7" s="10" t="s">
        <v>108</v>
      </c>
      <c r="D7" s="10">
        <v>0</v>
      </c>
      <c r="E7" s="10">
        <v>0</v>
      </c>
      <c r="F7" s="11">
        <f t="shared" ref="F5:G15" si="0">SUM(D7:D7)</f>
        <v>0</v>
      </c>
      <c r="G7" s="12">
        <f t="shared" si="0"/>
        <v>0</v>
      </c>
    </row>
    <row r="8" spans="2:7" ht="21.75" customHeight="1">
      <c r="B8" s="27" t="s">
        <v>223</v>
      </c>
      <c r="C8" s="10" t="s">
        <v>108</v>
      </c>
      <c r="D8" s="10">
        <v>0</v>
      </c>
      <c r="E8" s="10">
        <v>0</v>
      </c>
      <c r="F8" s="29">
        <f>SUM(D8:D9)</f>
        <v>0</v>
      </c>
      <c r="G8" s="31">
        <f>SUM(E8:E9)</f>
        <v>0</v>
      </c>
    </row>
    <row r="9" spans="2:7" ht="21.75" customHeight="1">
      <c r="B9" s="34"/>
      <c r="C9" s="10" t="s">
        <v>143</v>
      </c>
      <c r="D9" s="10">
        <v>0</v>
      </c>
      <c r="E9" s="10">
        <v>0</v>
      </c>
      <c r="F9" s="44"/>
      <c r="G9" s="45"/>
    </row>
    <row r="10" spans="2:7" ht="21.75" customHeight="1">
      <c r="B10" s="7" t="s">
        <v>224</v>
      </c>
      <c r="C10" s="10" t="s">
        <v>108</v>
      </c>
      <c r="D10" s="10">
        <v>0</v>
      </c>
      <c r="E10" s="10">
        <v>0</v>
      </c>
      <c r="F10" s="11">
        <v>14</v>
      </c>
      <c r="G10" s="12">
        <f t="shared" si="0"/>
        <v>0</v>
      </c>
    </row>
    <row r="11" spans="2:7" ht="21.75" customHeight="1">
      <c r="B11" s="7" t="s">
        <v>225</v>
      </c>
      <c r="C11" s="10" t="s">
        <v>108</v>
      </c>
      <c r="D11" s="10">
        <v>0</v>
      </c>
      <c r="E11" s="10">
        <v>0</v>
      </c>
      <c r="F11" s="11">
        <f t="shared" si="0"/>
        <v>0</v>
      </c>
      <c r="G11" s="12">
        <f t="shared" si="0"/>
        <v>0</v>
      </c>
    </row>
    <row r="12" spans="2:7" ht="21.75" customHeight="1">
      <c r="B12" s="7" t="s">
        <v>226</v>
      </c>
      <c r="C12" s="10" t="s">
        <v>108</v>
      </c>
      <c r="D12" s="10">
        <v>0</v>
      </c>
      <c r="E12" s="10">
        <v>0</v>
      </c>
      <c r="F12" s="11">
        <f t="shared" si="0"/>
        <v>0</v>
      </c>
      <c r="G12" s="12">
        <f t="shared" si="0"/>
        <v>0</v>
      </c>
    </row>
    <row r="13" spans="2:7" ht="21.75" customHeight="1">
      <c r="B13" s="7" t="s">
        <v>228</v>
      </c>
      <c r="C13" s="10" t="s">
        <v>108</v>
      </c>
      <c r="D13" s="10">
        <v>0</v>
      </c>
      <c r="E13" s="10">
        <v>0</v>
      </c>
      <c r="F13" s="11">
        <f t="shared" si="0"/>
        <v>0</v>
      </c>
      <c r="G13" s="12">
        <f t="shared" si="0"/>
        <v>0</v>
      </c>
    </row>
    <row r="14" spans="2:7" ht="21.75" customHeight="1">
      <c r="B14" s="7" t="s">
        <v>229</v>
      </c>
      <c r="C14" s="10" t="s">
        <v>108</v>
      </c>
      <c r="D14" s="10">
        <v>0</v>
      </c>
      <c r="E14" s="10">
        <v>0</v>
      </c>
      <c r="F14" s="11">
        <f t="shared" si="0"/>
        <v>0</v>
      </c>
      <c r="G14" s="12">
        <f>SUM(E15:E15)</f>
        <v>0</v>
      </c>
    </row>
    <row r="15" spans="2:7" ht="21.75" customHeight="1">
      <c r="B15" s="7" t="s">
        <v>230</v>
      </c>
      <c r="C15" s="10" t="s">
        <v>54</v>
      </c>
      <c r="D15" s="10">
        <v>0</v>
      </c>
      <c r="E15" s="10">
        <v>0</v>
      </c>
      <c r="F15" s="11">
        <f t="shared" si="0"/>
        <v>0</v>
      </c>
      <c r="G15" s="12">
        <f>SUM(E16:E16)</f>
        <v>0</v>
      </c>
    </row>
    <row r="16" spans="2:7" ht="21.75" customHeight="1">
      <c r="B16" s="7" t="s">
        <v>231</v>
      </c>
      <c r="C16" s="10" t="s">
        <v>108</v>
      </c>
      <c r="D16" s="14"/>
      <c r="E16" s="13"/>
      <c r="F16" s="11"/>
      <c r="G16" s="12"/>
    </row>
    <row r="17" spans="2:7">
      <c r="B17" s="4" t="s">
        <v>232</v>
      </c>
      <c r="C17" s="4"/>
      <c r="D17" s="4"/>
      <c r="E17" s="4"/>
      <c r="F17" s="15">
        <f>SUM(F4:F16)</f>
        <v>14</v>
      </c>
      <c r="G17" s="16">
        <f>SUM(G4:G16)</f>
        <v>0</v>
      </c>
    </row>
  </sheetData>
  <mergeCells count="7">
    <mergeCell ref="B2:G2"/>
    <mergeCell ref="B8:B9"/>
    <mergeCell ref="F8:F9"/>
    <mergeCell ref="G8:G9"/>
    <mergeCell ref="D4:G4"/>
    <mergeCell ref="D5:G5"/>
    <mergeCell ref="D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Karen Viviana Alvarez Viedman</cp:lastModifiedBy>
  <cp:revision/>
  <dcterms:created xsi:type="dcterms:W3CDTF">2025-05-05T15:56:58Z</dcterms:created>
  <dcterms:modified xsi:type="dcterms:W3CDTF">2026-05-28T14:47:31Z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2025-05-05T15:57:27Z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8761eb49-c206-445c-88b8-720ce831cb44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